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a255214\Downloads\DataEngineering\MS Excel\"/>
    </mc:Choice>
  </mc:AlternateContent>
  <xr:revisionPtr revIDLastSave="0" documentId="13_ncr:1_{F1531309-72F7-45CA-8AA5-46B7C6D2E6D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Data Set 1" sheetId="1" r:id="rId1"/>
    <sheet name="Data Set 2 - Vehicles" sheetId="2" r:id="rId2"/>
    <sheet name="Data Set 3 - Contacts" sheetId="3" r:id="rId3"/>
    <sheet name="Pivots" sheetId="5" r:id="rId4"/>
    <sheet name="Dashboards" sheetId="6" r:id="rId5"/>
  </sheets>
  <definedNames>
    <definedName name="_xlnm._FilterDatabase" localSheetId="0" hidden="1">'Data Set 1'!$A$13:$X$148</definedName>
    <definedName name="_xlnm._FilterDatabase" localSheetId="1" hidden="1">'Data Set 2 - Vehicles'!$A$1:$Q$158</definedName>
    <definedName name="_xlnm._FilterDatabase" localSheetId="2" hidden="1">'Data Set 3 - Contacts'!$A$1:$D$136</definedName>
    <definedName name="Z_1A5624DA_590F_47E6_9C14_A8D9D8A4F040_.wvu.FilterData" localSheetId="0" hidden="1">'Data Set 1'!$E$6</definedName>
    <definedName name="Z_857A60D0_0299_4BDC_9555_508E73A4A88F_.wvu.FilterData" localSheetId="0" hidden="1">'Data Set 1'!$H$13:$H$78</definedName>
    <definedName name="Z_E25FD886_9254_4DA0_9D09_EE60A76E4B3D_.wvu.FilterData" localSheetId="0" hidden="1">'Data Set 1'!$A$13:$G$1011</definedName>
    <definedName name="Z_FEA06CF7_D256_4314_8A59_3BE2DD4AF49D_.wvu.FilterData" localSheetId="0" hidden="1">'Data Set 1'!$A$13:$G$148</definedName>
  </definedNames>
  <calcPr calcId="191029"/>
  <customWorkbookViews>
    <customWorkbookView name="Filter 1" guid="{E25FD886-9254-4DA0-9D09-EE60A76E4B3D}" maximized="1" windowWidth="0" windowHeight="0" activeSheetId="0"/>
    <customWorkbookView name="Filter 3" guid="{FEA06CF7-D256-4314-8A59-3BE2DD4AF49D}" maximized="1" windowWidth="0" windowHeight="0" activeSheetId="0"/>
    <customWorkbookView name="Filter 2" guid="{857A60D0-0299-4BDC-9555-508E73A4A88F}" maximized="1" windowWidth="0" windowHeight="0" activeSheetId="0"/>
    <customWorkbookView name="Filter 4" guid="{1A5624DA-590F-47E6-9C14-A8D9D8A4F040}" maximized="1" windowWidth="0" windowHeight="0" activeSheetId="0"/>
  </customWorkbookViews>
  <pivotCaches>
    <pivotCache cacheId="22" r:id="rId6"/>
    <pivotCache cacheId="3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1" l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5" i="1"/>
  <c r="Y14" i="1"/>
  <c r="I14" i="1"/>
  <c r="J14" i="1" s="1"/>
  <c r="K14" i="1"/>
  <c r="L14" i="1"/>
  <c r="M14" i="1"/>
  <c r="N14" i="1"/>
  <c r="O14" i="1"/>
  <c r="P14" i="1"/>
  <c r="S14" i="1" s="1"/>
  <c r="Q14" i="1"/>
  <c r="R14" i="1"/>
  <c r="V14" i="1"/>
  <c r="W14" i="1"/>
  <c r="X14" i="1"/>
  <c r="I15" i="1"/>
  <c r="J15" i="1" s="1"/>
  <c r="K15" i="1"/>
  <c r="L15" i="1"/>
  <c r="M15" i="1"/>
  <c r="N15" i="1"/>
  <c r="O15" i="1"/>
  <c r="P15" i="1"/>
  <c r="S15" i="1" s="1"/>
  <c r="Q15" i="1"/>
  <c r="R15" i="1"/>
  <c r="V15" i="1"/>
  <c r="W15" i="1"/>
  <c r="X15" i="1"/>
  <c r="I16" i="1"/>
  <c r="J16" i="1"/>
  <c r="K16" i="1"/>
  <c r="L16" i="1"/>
  <c r="M16" i="1"/>
  <c r="N16" i="1"/>
  <c r="O16" i="1"/>
  <c r="P16" i="1"/>
  <c r="S16" i="1" s="1"/>
  <c r="Q16" i="1"/>
  <c r="R16" i="1"/>
  <c r="V16" i="1"/>
  <c r="W16" i="1"/>
  <c r="X16" i="1" s="1"/>
  <c r="I17" i="1"/>
  <c r="J17" i="1" s="1"/>
  <c r="K17" i="1"/>
  <c r="L17" i="1"/>
  <c r="M17" i="1"/>
  <c r="N17" i="1"/>
  <c r="O17" i="1"/>
  <c r="P17" i="1"/>
  <c r="Q17" i="1"/>
  <c r="R17" i="1"/>
  <c r="S17" i="1"/>
  <c r="U17" i="1" s="1"/>
  <c r="V17" i="1"/>
  <c r="W17" i="1"/>
  <c r="X17" i="1" s="1"/>
  <c r="I18" i="1"/>
  <c r="J18" i="1"/>
  <c r="K18" i="1"/>
  <c r="L18" i="1"/>
  <c r="M18" i="1"/>
  <c r="N18" i="1"/>
  <c r="O18" i="1"/>
  <c r="P18" i="1"/>
  <c r="S18" i="1" s="1"/>
  <c r="Q18" i="1"/>
  <c r="R18" i="1"/>
  <c r="V18" i="1"/>
  <c r="W18" i="1"/>
  <c r="X18" i="1"/>
  <c r="I19" i="1"/>
  <c r="J19" i="1" s="1"/>
  <c r="K19" i="1"/>
  <c r="L19" i="1"/>
  <c r="M19" i="1"/>
  <c r="N19" i="1"/>
  <c r="O19" i="1"/>
  <c r="P19" i="1"/>
  <c r="S19" i="1" s="1"/>
  <c r="Q19" i="1"/>
  <c r="R19" i="1"/>
  <c r="V19" i="1"/>
  <c r="W19" i="1"/>
  <c r="X19" i="1" s="1"/>
  <c r="I20" i="1"/>
  <c r="J20" i="1" s="1"/>
  <c r="K20" i="1"/>
  <c r="L20" i="1"/>
  <c r="M20" i="1"/>
  <c r="N20" i="1"/>
  <c r="O20" i="1"/>
  <c r="P20" i="1"/>
  <c r="Q20" i="1"/>
  <c r="R20" i="1"/>
  <c r="S20" i="1"/>
  <c r="U20" i="1" s="1"/>
  <c r="V20" i="1"/>
  <c r="W20" i="1"/>
  <c r="X20" i="1" s="1"/>
  <c r="I21" i="1"/>
  <c r="J21" i="1" s="1"/>
  <c r="K21" i="1"/>
  <c r="L21" i="1"/>
  <c r="M21" i="1"/>
  <c r="N21" i="1"/>
  <c r="O21" i="1"/>
  <c r="P21" i="1"/>
  <c r="S21" i="1" s="1"/>
  <c r="Q21" i="1"/>
  <c r="R21" i="1"/>
  <c r="V21" i="1"/>
  <c r="W21" i="1"/>
  <c r="X21" i="1"/>
  <c r="I22" i="1"/>
  <c r="J22" i="1"/>
  <c r="K22" i="1"/>
  <c r="L22" i="1"/>
  <c r="M22" i="1"/>
  <c r="N22" i="1"/>
  <c r="O22" i="1"/>
  <c r="P22" i="1"/>
  <c r="Q22" i="1"/>
  <c r="R22" i="1"/>
  <c r="S22" i="1"/>
  <c r="U22" i="1" s="1"/>
  <c r="V22" i="1"/>
  <c r="W22" i="1"/>
  <c r="X22" i="1"/>
  <c r="I23" i="1"/>
  <c r="J23" i="1"/>
  <c r="K23" i="1"/>
  <c r="L23" i="1"/>
  <c r="M23" i="1"/>
  <c r="N23" i="1"/>
  <c r="O23" i="1"/>
  <c r="P23" i="1"/>
  <c r="S23" i="1" s="1"/>
  <c r="Q23" i="1"/>
  <c r="R23" i="1"/>
  <c r="V23" i="1"/>
  <c r="W23" i="1"/>
  <c r="X23" i="1"/>
  <c r="I24" i="1"/>
  <c r="J24" i="1" s="1"/>
  <c r="K24" i="1"/>
  <c r="L24" i="1"/>
  <c r="M24" i="1"/>
  <c r="N24" i="1"/>
  <c r="O24" i="1"/>
  <c r="P24" i="1"/>
  <c r="S24" i="1" s="1"/>
  <c r="T24" i="1" s="1"/>
  <c r="Q24" i="1"/>
  <c r="R24" i="1"/>
  <c r="V24" i="1"/>
  <c r="W24" i="1"/>
  <c r="X24" i="1" s="1"/>
  <c r="I25" i="1"/>
  <c r="J25" i="1"/>
  <c r="K25" i="1"/>
  <c r="L25" i="1"/>
  <c r="M25" i="1"/>
  <c r="N25" i="1"/>
  <c r="O25" i="1"/>
  <c r="P25" i="1"/>
  <c r="S25" i="1" s="1"/>
  <c r="Q25" i="1"/>
  <c r="R25" i="1"/>
  <c r="V25" i="1"/>
  <c r="W25" i="1"/>
  <c r="X25" i="1"/>
  <c r="I26" i="1"/>
  <c r="J26" i="1" s="1"/>
  <c r="K26" i="1"/>
  <c r="L26" i="1"/>
  <c r="M26" i="1"/>
  <c r="N26" i="1"/>
  <c r="O26" i="1"/>
  <c r="P26" i="1"/>
  <c r="S26" i="1" s="1"/>
  <c r="Q26" i="1"/>
  <c r="R26" i="1"/>
  <c r="V26" i="1"/>
  <c r="W26" i="1"/>
  <c r="X26" i="1" s="1"/>
  <c r="I27" i="1"/>
  <c r="J27" i="1" s="1"/>
  <c r="K27" i="1"/>
  <c r="L27" i="1"/>
  <c r="M27" i="1"/>
  <c r="N27" i="1"/>
  <c r="O27" i="1"/>
  <c r="P27" i="1"/>
  <c r="Q27" i="1"/>
  <c r="R27" i="1"/>
  <c r="S27" i="1"/>
  <c r="U27" i="1" s="1"/>
  <c r="V27" i="1"/>
  <c r="W27" i="1"/>
  <c r="X27" i="1" s="1"/>
  <c r="I28" i="1"/>
  <c r="J28" i="1" s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I29" i="1"/>
  <c r="J29" i="1"/>
  <c r="K29" i="1"/>
  <c r="L29" i="1"/>
  <c r="M29" i="1"/>
  <c r="N29" i="1"/>
  <c r="O29" i="1"/>
  <c r="P29" i="1"/>
  <c r="S29" i="1" s="1"/>
  <c r="T29" i="1" s="1"/>
  <c r="Q29" i="1"/>
  <c r="R29" i="1"/>
  <c r="V29" i="1"/>
  <c r="W29" i="1"/>
  <c r="X29" i="1"/>
  <c r="I30" i="1"/>
  <c r="J30" i="1"/>
  <c r="K30" i="1"/>
  <c r="L30" i="1"/>
  <c r="M30" i="1"/>
  <c r="N30" i="1"/>
  <c r="O30" i="1"/>
  <c r="P30" i="1"/>
  <c r="S30" i="1" s="1"/>
  <c r="Q30" i="1"/>
  <c r="R30" i="1"/>
  <c r="V30" i="1"/>
  <c r="W30" i="1"/>
  <c r="X30" i="1" s="1"/>
  <c r="I31" i="1"/>
  <c r="J31" i="1" s="1"/>
  <c r="K31" i="1"/>
  <c r="L31" i="1"/>
  <c r="M31" i="1"/>
  <c r="N31" i="1"/>
  <c r="O31" i="1"/>
  <c r="P31" i="1"/>
  <c r="S31" i="1" s="1"/>
  <c r="Q31" i="1"/>
  <c r="R31" i="1"/>
  <c r="V31" i="1"/>
  <c r="W31" i="1"/>
  <c r="X31" i="1"/>
  <c r="I32" i="1"/>
  <c r="J32" i="1" s="1"/>
  <c r="K32" i="1"/>
  <c r="L32" i="1"/>
  <c r="M32" i="1"/>
  <c r="N32" i="1"/>
  <c r="O32" i="1"/>
  <c r="P32" i="1"/>
  <c r="S32" i="1" s="1"/>
  <c r="Q32" i="1"/>
  <c r="R32" i="1"/>
  <c r="V32" i="1"/>
  <c r="W32" i="1"/>
  <c r="X32" i="1"/>
  <c r="I33" i="1"/>
  <c r="J33" i="1"/>
  <c r="K33" i="1"/>
  <c r="L33" i="1"/>
  <c r="M33" i="1"/>
  <c r="N33" i="1"/>
  <c r="O33" i="1"/>
  <c r="P33" i="1"/>
  <c r="S33" i="1" s="1"/>
  <c r="Q33" i="1"/>
  <c r="R33" i="1"/>
  <c r="V33" i="1"/>
  <c r="W33" i="1"/>
  <c r="X33" i="1" s="1"/>
  <c r="I34" i="1"/>
  <c r="J34" i="1"/>
  <c r="K34" i="1"/>
  <c r="L34" i="1"/>
  <c r="M34" i="1"/>
  <c r="N34" i="1"/>
  <c r="O34" i="1"/>
  <c r="P34" i="1"/>
  <c r="S34" i="1" s="1"/>
  <c r="T34" i="1" s="1"/>
  <c r="Q34" i="1"/>
  <c r="R34" i="1"/>
  <c r="V34" i="1"/>
  <c r="W34" i="1"/>
  <c r="X34" i="1" s="1"/>
  <c r="I35" i="1"/>
  <c r="J35" i="1" s="1"/>
  <c r="K35" i="1"/>
  <c r="L35" i="1"/>
  <c r="M35" i="1"/>
  <c r="N35" i="1"/>
  <c r="O35" i="1"/>
  <c r="P35" i="1"/>
  <c r="Q35" i="1"/>
  <c r="R35" i="1"/>
  <c r="S35" i="1"/>
  <c r="U35" i="1" s="1"/>
  <c r="T35" i="1"/>
  <c r="V35" i="1"/>
  <c r="W35" i="1"/>
  <c r="X35" i="1"/>
  <c r="I36" i="1"/>
  <c r="J36" i="1" s="1"/>
  <c r="K36" i="1"/>
  <c r="L36" i="1"/>
  <c r="M36" i="1"/>
  <c r="N36" i="1"/>
  <c r="O36" i="1"/>
  <c r="P36" i="1"/>
  <c r="S36" i="1" s="1"/>
  <c r="T36" i="1" s="1"/>
  <c r="Q36" i="1"/>
  <c r="R36" i="1"/>
  <c r="V36" i="1"/>
  <c r="W36" i="1"/>
  <c r="X36" i="1" s="1"/>
  <c r="I37" i="1"/>
  <c r="J37" i="1"/>
  <c r="K37" i="1"/>
  <c r="L37" i="1"/>
  <c r="M37" i="1"/>
  <c r="N37" i="1"/>
  <c r="O37" i="1"/>
  <c r="P37" i="1"/>
  <c r="S37" i="1" s="1"/>
  <c r="Q37" i="1"/>
  <c r="R37" i="1"/>
  <c r="V37" i="1"/>
  <c r="W37" i="1"/>
  <c r="X37" i="1" s="1"/>
  <c r="I38" i="1"/>
  <c r="J38" i="1" s="1"/>
  <c r="K38" i="1"/>
  <c r="L38" i="1"/>
  <c r="M38" i="1"/>
  <c r="N38" i="1"/>
  <c r="O38" i="1"/>
  <c r="P38" i="1"/>
  <c r="Q38" i="1"/>
  <c r="R38" i="1"/>
  <c r="S38" i="1"/>
  <c r="U38" i="1" s="1"/>
  <c r="V38" i="1"/>
  <c r="W38" i="1"/>
  <c r="X38" i="1" s="1"/>
  <c r="I39" i="1"/>
  <c r="J39" i="1"/>
  <c r="K39" i="1"/>
  <c r="L39" i="1"/>
  <c r="M39" i="1"/>
  <c r="N39" i="1"/>
  <c r="O39" i="1"/>
  <c r="P39" i="1"/>
  <c r="S39" i="1" s="1"/>
  <c r="T39" i="1" s="1"/>
  <c r="Q39" i="1"/>
  <c r="R39" i="1"/>
  <c r="V39" i="1"/>
  <c r="W39" i="1"/>
  <c r="X39" i="1"/>
  <c r="I40" i="1"/>
  <c r="J40" i="1"/>
  <c r="K40" i="1"/>
  <c r="L40" i="1"/>
  <c r="M40" i="1"/>
  <c r="N40" i="1"/>
  <c r="O40" i="1"/>
  <c r="P40" i="1"/>
  <c r="S40" i="1" s="1"/>
  <c r="Q40" i="1"/>
  <c r="R40" i="1"/>
  <c r="V40" i="1"/>
  <c r="W40" i="1"/>
  <c r="X40" i="1"/>
  <c r="I41" i="1"/>
  <c r="J41" i="1"/>
  <c r="K41" i="1"/>
  <c r="L41" i="1"/>
  <c r="M41" i="1"/>
  <c r="N41" i="1"/>
  <c r="O41" i="1"/>
  <c r="P41" i="1"/>
  <c r="S41" i="1" s="1"/>
  <c r="T41" i="1" s="1"/>
  <c r="Q41" i="1"/>
  <c r="R41" i="1"/>
  <c r="V41" i="1"/>
  <c r="W41" i="1"/>
  <c r="X41" i="1" s="1"/>
  <c r="I42" i="1"/>
  <c r="J42" i="1" s="1"/>
  <c r="K42" i="1"/>
  <c r="L42" i="1"/>
  <c r="M42" i="1"/>
  <c r="N42" i="1"/>
  <c r="O42" i="1"/>
  <c r="P42" i="1"/>
  <c r="Q42" i="1"/>
  <c r="R42" i="1"/>
  <c r="S42" i="1"/>
  <c r="U42" i="1" s="1"/>
  <c r="T42" i="1"/>
  <c r="V42" i="1"/>
  <c r="W42" i="1"/>
  <c r="X42" i="1"/>
  <c r="I43" i="1"/>
  <c r="J43" i="1" s="1"/>
  <c r="K43" i="1"/>
  <c r="L43" i="1"/>
  <c r="M43" i="1"/>
  <c r="N43" i="1"/>
  <c r="O43" i="1"/>
  <c r="P43" i="1"/>
  <c r="S43" i="1" s="1"/>
  <c r="Q43" i="1"/>
  <c r="R43" i="1"/>
  <c r="V43" i="1"/>
  <c r="W43" i="1"/>
  <c r="X43" i="1"/>
  <c r="I44" i="1"/>
  <c r="J44" i="1"/>
  <c r="K44" i="1"/>
  <c r="L44" i="1"/>
  <c r="M44" i="1"/>
  <c r="N44" i="1"/>
  <c r="O44" i="1"/>
  <c r="P44" i="1"/>
  <c r="S44" i="1" s="1"/>
  <c r="T44" i="1" s="1"/>
  <c r="Q44" i="1"/>
  <c r="R44" i="1"/>
  <c r="V44" i="1"/>
  <c r="W44" i="1"/>
  <c r="X44" i="1" s="1"/>
  <c r="I45" i="1"/>
  <c r="J45" i="1"/>
  <c r="K45" i="1"/>
  <c r="L45" i="1"/>
  <c r="M45" i="1"/>
  <c r="N45" i="1"/>
  <c r="O45" i="1"/>
  <c r="P45" i="1"/>
  <c r="S45" i="1" s="1"/>
  <c r="Q45" i="1"/>
  <c r="R45" i="1"/>
  <c r="V45" i="1"/>
  <c r="W45" i="1"/>
  <c r="X45" i="1"/>
  <c r="I46" i="1"/>
  <c r="J46" i="1" s="1"/>
  <c r="K46" i="1"/>
  <c r="L46" i="1"/>
  <c r="M46" i="1"/>
  <c r="N46" i="1"/>
  <c r="O46" i="1"/>
  <c r="P46" i="1"/>
  <c r="S46" i="1" s="1"/>
  <c r="T46" i="1" s="1"/>
  <c r="Q46" i="1"/>
  <c r="R46" i="1"/>
  <c r="U46" i="1"/>
  <c r="V46" i="1"/>
  <c r="W46" i="1"/>
  <c r="X46" i="1" s="1"/>
  <c r="I47" i="1"/>
  <c r="J47" i="1"/>
  <c r="K47" i="1"/>
  <c r="L47" i="1"/>
  <c r="M47" i="1"/>
  <c r="N47" i="1"/>
  <c r="O47" i="1"/>
  <c r="P47" i="1"/>
  <c r="S47" i="1" s="1"/>
  <c r="Q47" i="1"/>
  <c r="R47" i="1"/>
  <c r="V47" i="1"/>
  <c r="W47" i="1"/>
  <c r="X47" i="1"/>
  <c r="I48" i="1"/>
  <c r="J48" i="1"/>
  <c r="K48" i="1"/>
  <c r="L48" i="1"/>
  <c r="M48" i="1"/>
  <c r="N48" i="1"/>
  <c r="O48" i="1"/>
  <c r="P48" i="1"/>
  <c r="S48" i="1" s="1"/>
  <c r="Q48" i="1"/>
  <c r="R48" i="1"/>
  <c r="V48" i="1"/>
  <c r="W48" i="1"/>
  <c r="X48" i="1"/>
  <c r="I49" i="1"/>
  <c r="J49" i="1"/>
  <c r="K49" i="1"/>
  <c r="L49" i="1"/>
  <c r="M49" i="1"/>
  <c r="N49" i="1"/>
  <c r="O49" i="1"/>
  <c r="P49" i="1"/>
  <c r="S49" i="1" s="1"/>
  <c r="T49" i="1" s="1"/>
  <c r="Q49" i="1"/>
  <c r="R49" i="1"/>
  <c r="V49" i="1"/>
  <c r="W49" i="1"/>
  <c r="X49" i="1" s="1"/>
  <c r="I50" i="1"/>
  <c r="J50" i="1"/>
  <c r="K50" i="1"/>
  <c r="L50" i="1"/>
  <c r="M50" i="1"/>
  <c r="N50" i="1"/>
  <c r="O50" i="1"/>
  <c r="P50" i="1"/>
  <c r="Q50" i="1"/>
  <c r="R50" i="1"/>
  <c r="S50" i="1"/>
  <c r="U50" i="1" s="1"/>
  <c r="T50" i="1"/>
  <c r="V50" i="1"/>
  <c r="W50" i="1"/>
  <c r="X50" i="1"/>
  <c r="I51" i="1"/>
  <c r="J51" i="1"/>
  <c r="K51" i="1"/>
  <c r="L51" i="1"/>
  <c r="M51" i="1"/>
  <c r="N51" i="1"/>
  <c r="O51" i="1"/>
  <c r="P51" i="1"/>
  <c r="S51" i="1" s="1"/>
  <c r="T51" i="1" s="1"/>
  <c r="Q51" i="1"/>
  <c r="R51" i="1"/>
  <c r="V51" i="1"/>
  <c r="W51" i="1"/>
  <c r="X51" i="1"/>
  <c r="I52" i="1"/>
  <c r="J52" i="1" s="1"/>
  <c r="K52" i="1"/>
  <c r="L52" i="1"/>
  <c r="M52" i="1"/>
  <c r="N52" i="1"/>
  <c r="O52" i="1"/>
  <c r="P52" i="1"/>
  <c r="S52" i="1" s="1"/>
  <c r="Q52" i="1"/>
  <c r="R52" i="1"/>
  <c r="V52" i="1"/>
  <c r="W52" i="1"/>
  <c r="X52" i="1"/>
  <c r="I53" i="1"/>
  <c r="J53" i="1" s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 s="1"/>
  <c r="I54" i="1"/>
  <c r="J54" i="1"/>
  <c r="K54" i="1"/>
  <c r="L54" i="1"/>
  <c r="M54" i="1"/>
  <c r="N54" i="1"/>
  <c r="O54" i="1"/>
  <c r="P54" i="1"/>
  <c r="S54" i="1" s="1"/>
  <c r="T54" i="1" s="1"/>
  <c r="Q54" i="1"/>
  <c r="R54" i="1"/>
  <c r="U54" i="1"/>
  <c r="V54" i="1"/>
  <c r="W54" i="1"/>
  <c r="X54" i="1"/>
  <c r="I55" i="1"/>
  <c r="J55" i="1"/>
  <c r="K55" i="1"/>
  <c r="L55" i="1"/>
  <c r="M55" i="1"/>
  <c r="N55" i="1"/>
  <c r="O55" i="1"/>
  <c r="P55" i="1"/>
  <c r="S55" i="1" s="1"/>
  <c r="Q55" i="1"/>
  <c r="R55" i="1"/>
  <c r="V55" i="1"/>
  <c r="W55" i="1"/>
  <c r="X55" i="1"/>
  <c r="I56" i="1"/>
  <c r="J56" i="1" s="1"/>
  <c r="K56" i="1"/>
  <c r="L56" i="1"/>
  <c r="M56" i="1"/>
  <c r="N56" i="1"/>
  <c r="O56" i="1"/>
  <c r="P56" i="1"/>
  <c r="S56" i="1" s="1"/>
  <c r="T56" i="1" s="1"/>
  <c r="Q56" i="1"/>
  <c r="R56" i="1"/>
  <c r="V56" i="1"/>
  <c r="W56" i="1"/>
  <c r="X56" i="1" s="1"/>
  <c r="I57" i="1"/>
  <c r="J57" i="1"/>
  <c r="K57" i="1"/>
  <c r="L57" i="1"/>
  <c r="M57" i="1"/>
  <c r="N57" i="1"/>
  <c r="O57" i="1"/>
  <c r="P57" i="1"/>
  <c r="S57" i="1" s="1"/>
  <c r="U57" i="1" s="1"/>
  <c r="Q57" i="1"/>
  <c r="R57" i="1"/>
  <c r="V57" i="1"/>
  <c r="W57" i="1"/>
  <c r="X57" i="1"/>
  <c r="I58" i="1"/>
  <c r="J58" i="1"/>
  <c r="K58" i="1"/>
  <c r="L58" i="1"/>
  <c r="M58" i="1"/>
  <c r="N58" i="1"/>
  <c r="O58" i="1"/>
  <c r="P58" i="1"/>
  <c r="S58" i="1" s="1"/>
  <c r="Q58" i="1"/>
  <c r="R58" i="1"/>
  <c r="V58" i="1"/>
  <c r="W58" i="1"/>
  <c r="X58" i="1"/>
  <c r="I59" i="1"/>
  <c r="J59" i="1"/>
  <c r="K59" i="1"/>
  <c r="L59" i="1"/>
  <c r="M59" i="1"/>
  <c r="N59" i="1"/>
  <c r="O59" i="1"/>
  <c r="P59" i="1"/>
  <c r="S59" i="1" s="1"/>
  <c r="T59" i="1" s="1"/>
  <c r="Q59" i="1"/>
  <c r="R59" i="1"/>
  <c r="V59" i="1"/>
  <c r="W59" i="1"/>
  <c r="X59" i="1"/>
  <c r="I60" i="1"/>
  <c r="J60" i="1"/>
  <c r="K60" i="1"/>
  <c r="L60" i="1"/>
  <c r="M60" i="1"/>
  <c r="N60" i="1"/>
  <c r="O60" i="1"/>
  <c r="P60" i="1"/>
  <c r="Q60" i="1"/>
  <c r="R60" i="1"/>
  <c r="S60" i="1"/>
  <c r="U60" i="1" s="1"/>
  <c r="T60" i="1"/>
  <c r="V60" i="1"/>
  <c r="W60" i="1"/>
  <c r="X60" i="1" s="1"/>
  <c r="I61" i="1"/>
  <c r="J61" i="1"/>
  <c r="K61" i="1"/>
  <c r="L61" i="1"/>
  <c r="M61" i="1"/>
  <c r="N61" i="1"/>
  <c r="O61" i="1"/>
  <c r="P61" i="1"/>
  <c r="S61" i="1" s="1"/>
  <c r="T61" i="1" s="1"/>
  <c r="Q61" i="1"/>
  <c r="R61" i="1"/>
  <c r="U61" i="1"/>
  <c r="V61" i="1"/>
  <c r="W61" i="1"/>
  <c r="X61" i="1"/>
  <c r="I62" i="1"/>
  <c r="J62" i="1"/>
  <c r="K62" i="1"/>
  <c r="L62" i="1"/>
  <c r="M62" i="1"/>
  <c r="N62" i="1"/>
  <c r="O62" i="1"/>
  <c r="P62" i="1"/>
  <c r="S62" i="1" s="1"/>
  <c r="Q62" i="1"/>
  <c r="R62" i="1"/>
  <c r="V62" i="1"/>
  <c r="W62" i="1"/>
  <c r="X62" i="1"/>
  <c r="I63" i="1"/>
  <c r="J63" i="1" s="1"/>
  <c r="K63" i="1"/>
  <c r="L63" i="1"/>
  <c r="M63" i="1"/>
  <c r="N63" i="1"/>
  <c r="O63" i="1"/>
  <c r="P63" i="1"/>
  <c r="S63" i="1" s="1"/>
  <c r="Q63" i="1"/>
  <c r="R63" i="1"/>
  <c r="V63" i="1"/>
  <c r="W63" i="1"/>
  <c r="X63" i="1"/>
  <c r="I64" i="1"/>
  <c r="J64" i="1"/>
  <c r="K64" i="1"/>
  <c r="L64" i="1"/>
  <c r="M64" i="1"/>
  <c r="N64" i="1"/>
  <c r="O64" i="1"/>
  <c r="P64" i="1"/>
  <c r="S64" i="1" s="1"/>
  <c r="T64" i="1" s="1"/>
  <c r="Q64" i="1"/>
  <c r="R64" i="1"/>
  <c r="U64" i="1"/>
  <c r="V64" i="1"/>
  <c r="W64" i="1"/>
  <c r="X64" i="1"/>
  <c r="I65" i="1"/>
  <c r="J65" i="1"/>
  <c r="K65" i="1"/>
  <c r="L65" i="1"/>
  <c r="M65" i="1"/>
  <c r="N65" i="1"/>
  <c r="O65" i="1"/>
  <c r="P65" i="1"/>
  <c r="Q65" i="1"/>
  <c r="R65" i="1"/>
  <c r="S65" i="1"/>
  <c r="U65" i="1" s="1"/>
  <c r="V65" i="1"/>
  <c r="W65" i="1"/>
  <c r="X65" i="1"/>
  <c r="I66" i="1"/>
  <c r="J66" i="1"/>
  <c r="K66" i="1"/>
  <c r="L66" i="1"/>
  <c r="M66" i="1"/>
  <c r="N66" i="1"/>
  <c r="O66" i="1"/>
  <c r="P66" i="1"/>
  <c r="S66" i="1" s="1"/>
  <c r="T66" i="1" s="1"/>
  <c r="Q66" i="1"/>
  <c r="R66" i="1"/>
  <c r="V66" i="1"/>
  <c r="W66" i="1"/>
  <c r="X66" i="1" s="1"/>
  <c r="I67" i="1"/>
  <c r="J67" i="1" s="1"/>
  <c r="K67" i="1"/>
  <c r="L67" i="1"/>
  <c r="M67" i="1"/>
  <c r="N67" i="1"/>
  <c r="O67" i="1"/>
  <c r="P67" i="1"/>
  <c r="Q67" i="1"/>
  <c r="R67" i="1"/>
  <c r="S67" i="1"/>
  <c r="U67" i="1" s="1"/>
  <c r="V67" i="1"/>
  <c r="W67" i="1"/>
  <c r="X67" i="1"/>
  <c r="I68" i="1"/>
  <c r="J68" i="1"/>
  <c r="K68" i="1"/>
  <c r="L68" i="1"/>
  <c r="M68" i="1"/>
  <c r="N68" i="1"/>
  <c r="O68" i="1"/>
  <c r="P68" i="1"/>
  <c r="S68" i="1" s="1"/>
  <c r="Q68" i="1"/>
  <c r="R68" i="1"/>
  <c r="V68" i="1"/>
  <c r="W68" i="1"/>
  <c r="X68" i="1"/>
  <c r="I69" i="1"/>
  <c r="J69" i="1" s="1"/>
  <c r="K69" i="1"/>
  <c r="L69" i="1"/>
  <c r="M69" i="1"/>
  <c r="N69" i="1"/>
  <c r="O69" i="1"/>
  <c r="P69" i="1"/>
  <c r="S69" i="1" s="1"/>
  <c r="T69" i="1" s="1"/>
  <c r="Q69" i="1"/>
  <c r="R69" i="1"/>
  <c r="U69" i="1"/>
  <c r="V69" i="1"/>
  <c r="W69" i="1"/>
  <c r="X69" i="1"/>
  <c r="I70" i="1"/>
  <c r="J70" i="1"/>
  <c r="K70" i="1"/>
  <c r="L70" i="1"/>
  <c r="M70" i="1"/>
  <c r="N70" i="1"/>
  <c r="O70" i="1"/>
  <c r="P70" i="1"/>
  <c r="S70" i="1" s="1"/>
  <c r="Q70" i="1"/>
  <c r="R70" i="1"/>
  <c r="V70" i="1"/>
  <c r="W70" i="1"/>
  <c r="X70" i="1"/>
  <c r="I71" i="1"/>
  <c r="J71" i="1"/>
  <c r="K71" i="1"/>
  <c r="L71" i="1"/>
  <c r="M71" i="1"/>
  <c r="N71" i="1"/>
  <c r="O71" i="1"/>
  <c r="P71" i="1"/>
  <c r="S71" i="1" s="1"/>
  <c r="T71" i="1" s="1"/>
  <c r="Q71" i="1"/>
  <c r="R71" i="1"/>
  <c r="U71" i="1"/>
  <c r="V71" i="1"/>
  <c r="W71" i="1"/>
  <c r="X71" i="1"/>
  <c r="I72" i="1"/>
  <c r="J72" i="1" s="1"/>
  <c r="K72" i="1"/>
  <c r="L72" i="1"/>
  <c r="M72" i="1"/>
  <c r="N72" i="1"/>
  <c r="O72" i="1"/>
  <c r="P72" i="1"/>
  <c r="S72" i="1" s="1"/>
  <c r="Q72" i="1"/>
  <c r="R72" i="1"/>
  <c r="V72" i="1"/>
  <c r="W72" i="1"/>
  <c r="X72" i="1"/>
  <c r="I73" i="1"/>
  <c r="J73" i="1"/>
  <c r="K73" i="1"/>
  <c r="L73" i="1"/>
  <c r="M73" i="1"/>
  <c r="N73" i="1"/>
  <c r="O73" i="1"/>
  <c r="P73" i="1"/>
  <c r="S73" i="1" s="1"/>
  <c r="Q73" i="1"/>
  <c r="R73" i="1"/>
  <c r="V73" i="1"/>
  <c r="W73" i="1"/>
  <c r="X73" i="1"/>
  <c r="I74" i="1"/>
  <c r="J74" i="1"/>
  <c r="K74" i="1"/>
  <c r="L74" i="1"/>
  <c r="M74" i="1"/>
  <c r="N74" i="1"/>
  <c r="O74" i="1"/>
  <c r="P74" i="1"/>
  <c r="S74" i="1" s="1"/>
  <c r="T74" i="1" s="1"/>
  <c r="Q74" i="1"/>
  <c r="R74" i="1"/>
  <c r="U74" i="1"/>
  <c r="V74" i="1"/>
  <c r="W74" i="1"/>
  <c r="X74" i="1"/>
  <c r="I75" i="1"/>
  <c r="J75" i="1" s="1"/>
  <c r="K75" i="1"/>
  <c r="L75" i="1"/>
  <c r="M75" i="1"/>
  <c r="N75" i="1"/>
  <c r="O75" i="1"/>
  <c r="P75" i="1"/>
  <c r="Q75" i="1"/>
  <c r="R75" i="1"/>
  <c r="S75" i="1"/>
  <c r="U75" i="1" s="1"/>
  <c r="T75" i="1"/>
  <c r="V75" i="1"/>
  <c r="W75" i="1"/>
  <c r="X75" i="1"/>
  <c r="I76" i="1"/>
  <c r="J76" i="1"/>
  <c r="K76" i="1"/>
  <c r="L76" i="1"/>
  <c r="M76" i="1"/>
  <c r="N76" i="1"/>
  <c r="O76" i="1"/>
  <c r="P76" i="1"/>
  <c r="S76" i="1" s="1"/>
  <c r="T76" i="1" s="1"/>
  <c r="Q76" i="1"/>
  <c r="R76" i="1"/>
  <c r="V76" i="1"/>
  <c r="W76" i="1"/>
  <c r="X76" i="1"/>
  <c r="I77" i="1"/>
  <c r="J77" i="1"/>
  <c r="K77" i="1"/>
  <c r="L77" i="1"/>
  <c r="M77" i="1"/>
  <c r="N77" i="1"/>
  <c r="O77" i="1"/>
  <c r="P77" i="1"/>
  <c r="S77" i="1" s="1"/>
  <c r="Q77" i="1"/>
  <c r="R77" i="1"/>
  <c r="V77" i="1"/>
  <c r="W77" i="1"/>
  <c r="X77" i="1"/>
  <c r="I78" i="1"/>
  <c r="J78" i="1"/>
  <c r="K78" i="1"/>
  <c r="L78" i="1"/>
  <c r="M78" i="1"/>
  <c r="N78" i="1"/>
  <c r="O78" i="1"/>
  <c r="P78" i="1"/>
  <c r="Q78" i="1"/>
  <c r="R78" i="1"/>
  <c r="S78" i="1"/>
  <c r="U78" i="1" s="1"/>
  <c r="T78" i="1"/>
  <c r="V78" i="1"/>
  <c r="W78" i="1"/>
  <c r="X78" i="1" s="1"/>
  <c r="I79" i="1"/>
  <c r="J79" i="1"/>
  <c r="K79" i="1"/>
  <c r="L79" i="1"/>
  <c r="M79" i="1"/>
  <c r="N79" i="1"/>
  <c r="O79" i="1"/>
  <c r="P79" i="1"/>
  <c r="S79" i="1" s="1"/>
  <c r="T79" i="1" s="1"/>
  <c r="Q79" i="1"/>
  <c r="R79" i="1"/>
  <c r="V79" i="1"/>
  <c r="W79" i="1"/>
  <c r="X79" i="1"/>
  <c r="I80" i="1"/>
  <c r="J80" i="1"/>
  <c r="K80" i="1"/>
  <c r="L80" i="1"/>
  <c r="M80" i="1"/>
  <c r="N80" i="1"/>
  <c r="O80" i="1"/>
  <c r="P80" i="1"/>
  <c r="S80" i="1" s="1"/>
  <c r="Q80" i="1"/>
  <c r="R80" i="1"/>
  <c r="V80" i="1"/>
  <c r="W80" i="1"/>
  <c r="X80" i="1" s="1"/>
  <c r="I81" i="1"/>
  <c r="J81" i="1"/>
  <c r="K81" i="1"/>
  <c r="L81" i="1"/>
  <c r="M81" i="1"/>
  <c r="N81" i="1"/>
  <c r="O81" i="1"/>
  <c r="P81" i="1"/>
  <c r="S81" i="1" s="1"/>
  <c r="T81" i="1" s="1"/>
  <c r="Q81" i="1"/>
  <c r="R81" i="1"/>
  <c r="V81" i="1"/>
  <c r="W81" i="1"/>
  <c r="X81" i="1" s="1"/>
  <c r="I82" i="1"/>
  <c r="J82" i="1" s="1"/>
  <c r="K82" i="1"/>
  <c r="L82" i="1"/>
  <c r="M82" i="1"/>
  <c r="N82" i="1"/>
  <c r="O82" i="1"/>
  <c r="P82" i="1"/>
  <c r="S82" i="1" s="1"/>
  <c r="Q82" i="1"/>
  <c r="R82" i="1"/>
  <c r="V82" i="1"/>
  <c r="W82" i="1"/>
  <c r="X82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I84" i="1"/>
  <c r="J84" i="1"/>
  <c r="K84" i="1"/>
  <c r="L84" i="1"/>
  <c r="M84" i="1"/>
  <c r="N84" i="1"/>
  <c r="O84" i="1"/>
  <c r="P84" i="1"/>
  <c r="S84" i="1" s="1"/>
  <c r="T84" i="1" s="1"/>
  <c r="Q84" i="1"/>
  <c r="R84" i="1"/>
  <c r="V84" i="1"/>
  <c r="W84" i="1"/>
  <c r="X84" i="1" s="1"/>
  <c r="I85" i="1"/>
  <c r="J85" i="1"/>
  <c r="K85" i="1"/>
  <c r="L85" i="1"/>
  <c r="M85" i="1"/>
  <c r="N85" i="1"/>
  <c r="O85" i="1"/>
  <c r="P85" i="1"/>
  <c r="Q85" i="1"/>
  <c r="R85" i="1"/>
  <c r="S85" i="1"/>
  <c r="U85" i="1" s="1"/>
  <c r="V85" i="1"/>
  <c r="W85" i="1"/>
  <c r="X85" i="1" s="1"/>
  <c r="I86" i="1"/>
  <c r="J86" i="1" s="1"/>
  <c r="K86" i="1"/>
  <c r="L86" i="1"/>
  <c r="M86" i="1"/>
  <c r="N86" i="1"/>
  <c r="O86" i="1"/>
  <c r="P86" i="1"/>
  <c r="S86" i="1" s="1"/>
  <c r="T86" i="1" s="1"/>
  <c r="Q86" i="1"/>
  <c r="R86" i="1"/>
  <c r="V86" i="1"/>
  <c r="W86" i="1"/>
  <c r="X86" i="1"/>
  <c r="I87" i="1"/>
  <c r="J87" i="1"/>
  <c r="K87" i="1"/>
  <c r="L87" i="1"/>
  <c r="M87" i="1"/>
  <c r="N87" i="1"/>
  <c r="O87" i="1"/>
  <c r="P87" i="1"/>
  <c r="S87" i="1" s="1"/>
  <c r="Q87" i="1"/>
  <c r="R87" i="1"/>
  <c r="V87" i="1"/>
  <c r="W87" i="1"/>
  <c r="X87" i="1"/>
  <c r="I88" i="1"/>
  <c r="J88" i="1" s="1"/>
  <c r="K88" i="1"/>
  <c r="L88" i="1"/>
  <c r="M88" i="1"/>
  <c r="N88" i="1"/>
  <c r="O88" i="1"/>
  <c r="P88" i="1"/>
  <c r="Q88" i="1"/>
  <c r="R88" i="1"/>
  <c r="S88" i="1"/>
  <c r="U88" i="1" s="1"/>
  <c r="T88" i="1"/>
  <c r="V88" i="1"/>
  <c r="W88" i="1"/>
  <c r="X88" i="1"/>
  <c r="I89" i="1"/>
  <c r="J89" i="1"/>
  <c r="K89" i="1"/>
  <c r="L89" i="1"/>
  <c r="M89" i="1"/>
  <c r="N89" i="1"/>
  <c r="O89" i="1"/>
  <c r="P89" i="1"/>
  <c r="S89" i="1" s="1"/>
  <c r="T89" i="1" s="1"/>
  <c r="Q89" i="1"/>
  <c r="R89" i="1"/>
  <c r="U89" i="1"/>
  <c r="V89" i="1"/>
  <c r="W89" i="1"/>
  <c r="X89" i="1"/>
  <c r="I90" i="1"/>
  <c r="J90" i="1"/>
  <c r="K90" i="1"/>
  <c r="L90" i="1"/>
  <c r="M90" i="1"/>
  <c r="N90" i="1"/>
  <c r="O90" i="1"/>
  <c r="P90" i="1"/>
  <c r="Q90" i="1"/>
  <c r="R90" i="1"/>
  <c r="S90" i="1"/>
  <c r="U90" i="1" s="1"/>
  <c r="T90" i="1"/>
  <c r="V90" i="1"/>
  <c r="W90" i="1"/>
  <c r="X90" i="1"/>
  <c r="I91" i="1"/>
  <c r="J91" i="1"/>
  <c r="K91" i="1"/>
  <c r="L91" i="1"/>
  <c r="M91" i="1"/>
  <c r="N91" i="1"/>
  <c r="O91" i="1"/>
  <c r="P91" i="1"/>
  <c r="S91" i="1" s="1"/>
  <c r="T91" i="1" s="1"/>
  <c r="Q91" i="1"/>
  <c r="R91" i="1"/>
  <c r="V91" i="1"/>
  <c r="W91" i="1"/>
  <c r="X91" i="1" s="1"/>
  <c r="I92" i="1"/>
  <c r="J92" i="1"/>
  <c r="K92" i="1"/>
  <c r="L92" i="1"/>
  <c r="M92" i="1"/>
  <c r="N92" i="1"/>
  <c r="O92" i="1"/>
  <c r="P92" i="1"/>
  <c r="Q92" i="1"/>
  <c r="R92" i="1"/>
  <c r="S92" i="1"/>
  <c r="U92" i="1" s="1"/>
  <c r="V92" i="1"/>
  <c r="W92" i="1"/>
  <c r="X92" i="1" s="1"/>
  <c r="I93" i="1"/>
  <c r="J93" i="1"/>
  <c r="K93" i="1"/>
  <c r="L93" i="1"/>
  <c r="M93" i="1"/>
  <c r="N93" i="1"/>
  <c r="O93" i="1"/>
  <c r="P93" i="1"/>
  <c r="S93" i="1" s="1"/>
  <c r="Q93" i="1"/>
  <c r="R93" i="1"/>
  <c r="V93" i="1"/>
  <c r="W93" i="1"/>
  <c r="X93" i="1"/>
  <c r="I94" i="1"/>
  <c r="J94" i="1"/>
  <c r="K94" i="1"/>
  <c r="L94" i="1"/>
  <c r="M94" i="1"/>
  <c r="N94" i="1"/>
  <c r="O94" i="1"/>
  <c r="P94" i="1"/>
  <c r="S94" i="1" s="1"/>
  <c r="T94" i="1" s="1"/>
  <c r="Q94" i="1"/>
  <c r="R94" i="1"/>
  <c r="V94" i="1"/>
  <c r="W94" i="1"/>
  <c r="X94" i="1" s="1"/>
  <c r="I95" i="1"/>
  <c r="J95" i="1"/>
  <c r="K95" i="1"/>
  <c r="L95" i="1"/>
  <c r="M95" i="1"/>
  <c r="N95" i="1"/>
  <c r="O95" i="1"/>
  <c r="P95" i="1"/>
  <c r="S95" i="1" s="1"/>
  <c r="Q95" i="1"/>
  <c r="R95" i="1"/>
  <c r="V95" i="1"/>
  <c r="W95" i="1"/>
  <c r="X95" i="1"/>
  <c r="I96" i="1"/>
  <c r="J96" i="1" s="1"/>
  <c r="K96" i="1"/>
  <c r="L96" i="1"/>
  <c r="M96" i="1"/>
  <c r="N96" i="1"/>
  <c r="O96" i="1"/>
  <c r="P96" i="1"/>
  <c r="S96" i="1" s="1"/>
  <c r="T96" i="1" s="1"/>
  <c r="Q96" i="1"/>
  <c r="R96" i="1"/>
  <c r="U96" i="1"/>
  <c r="V96" i="1"/>
  <c r="W96" i="1"/>
  <c r="X96" i="1" s="1"/>
  <c r="I97" i="1"/>
  <c r="J97" i="1"/>
  <c r="K97" i="1"/>
  <c r="L97" i="1"/>
  <c r="M97" i="1"/>
  <c r="N97" i="1"/>
  <c r="O97" i="1"/>
  <c r="P97" i="1"/>
  <c r="Q97" i="1"/>
  <c r="R97" i="1"/>
  <c r="S97" i="1"/>
  <c r="U97" i="1" s="1"/>
  <c r="T97" i="1"/>
  <c r="V97" i="1"/>
  <c r="W97" i="1"/>
  <c r="X97" i="1"/>
  <c r="I98" i="1"/>
  <c r="J98" i="1"/>
  <c r="K98" i="1"/>
  <c r="L98" i="1"/>
  <c r="M98" i="1"/>
  <c r="N98" i="1"/>
  <c r="O98" i="1"/>
  <c r="P98" i="1"/>
  <c r="S98" i="1" s="1"/>
  <c r="Q98" i="1"/>
  <c r="R98" i="1"/>
  <c r="V98" i="1"/>
  <c r="W98" i="1"/>
  <c r="X98" i="1"/>
  <c r="I99" i="1"/>
  <c r="J99" i="1"/>
  <c r="K99" i="1"/>
  <c r="L99" i="1"/>
  <c r="M99" i="1"/>
  <c r="N99" i="1"/>
  <c r="O99" i="1"/>
  <c r="P99" i="1"/>
  <c r="S99" i="1" s="1"/>
  <c r="T99" i="1" s="1"/>
  <c r="Q99" i="1"/>
  <c r="R99" i="1"/>
  <c r="V99" i="1"/>
  <c r="W99" i="1"/>
  <c r="X99" i="1"/>
  <c r="I100" i="1"/>
  <c r="J100" i="1"/>
  <c r="K100" i="1"/>
  <c r="L100" i="1"/>
  <c r="M100" i="1"/>
  <c r="N100" i="1"/>
  <c r="O100" i="1"/>
  <c r="P100" i="1"/>
  <c r="S100" i="1" s="1"/>
  <c r="Q100" i="1"/>
  <c r="R100" i="1"/>
  <c r="V100" i="1"/>
  <c r="W100" i="1"/>
  <c r="X100" i="1"/>
  <c r="I101" i="1"/>
  <c r="J101" i="1"/>
  <c r="K101" i="1"/>
  <c r="L101" i="1"/>
  <c r="M101" i="1"/>
  <c r="N101" i="1"/>
  <c r="O101" i="1"/>
  <c r="P101" i="1"/>
  <c r="S101" i="1" s="1"/>
  <c r="T101" i="1" s="1"/>
  <c r="Q101" i="1"/>
  <c r="R101" i="1"/>
  <c r="V101" i="1"/>
  <c r="W101" i="1"/>
  <c r="X101" i="1"/>
  <c r="I102" i="1"/>
  <c r="J102" i="1" s="1"/>
  <c r="K102" i="1"/>
  <c r="L102" i="1"/>
  <c r="M102" i="1"/>
  <c r="N102" i="1"/>
  <c r="O102" i="1"/>
  <c r="P102" i="1"/>
  <c r="Q102" i="1"/>
  <c r="R102" i="1"/>
  <c r="S102" i="1"/>
  <c r="U102" i="1" s="1"/>
  <c r="V102" i="1"/>
  <c r="W102" i="1"/>
  <c r="X102" i="1" s="1"/>
  <c r="I103" i="1"/>
  <c r="J103" i="1" s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I104" i="1"/>
  <c r="J104" i="1"/>
  <c r="K104" i="1"/>
  <c r="L104" i="1"/>
  <c r="M104" i="1"/>
  <c r="N104" i="1"/>
  <c r="O104" i="1"/>
  <c r="P104" i="1"/>
  <c r="S104" i="1" s="1"/>
  <c r="T104" i="1" s="1"/>
  <c r="Q104" i="1"/>
  <c r="R104" i="1"/>
  <c r="V104" i="1"/>
  <c r="W104" i="1"/>
  <c r="X104" i="1"/>
  <c r="I105" i="1"/>
  <c r="J105" i="1"/>
  <c r="K105" i="1"/>
  <c r="L105" i="1"/>
  <c r="M105" i="1"/>
  <c r="N105" i="1"/>
  <c r="O105" i="1"/>
  <c r="P105" i="1"/>
  <c r="S105" i="1" s="1"/>
  <c r="Q105" i="1"/>
  <c r="R105" i="1"/>
  <c r="V105" i="1"/>
  <c r="W105" i="1"/>
  <c r="X105" i="1"/>
  <c r="I106" i="1"/>
  <c r="J106" i="1" s="1"/>
  <c r="K106" i="1"/>
  <c r="L106" i="1"/>
  <c r="M106" i="1"/>
  <c r="N106" i="1"/>
  <c r="O106" i="1"/>
  <c r="P106" i="1"/>
  <c r="S106" i="1" s="1"/>
  <c r="T106" i="1" s="1"/>
  <c r="Q106" i="1"/>
  <c r="R106" i="1"/>
  <c r="U106" i="1"/>
  <c r="V106" i="1"/>
  <c r="W106" i="1"/>
  <c r="X106" i="1" s="1"/>
  <c r="I107" i="1"/>
  <c r="J107" i="1" s="1"/>
  <c r="K107" i="1"/>
  <c r="L107" i="1"/>
  <c r="M107" i="1"/>
  <c r="N107" i="1"/>
  <c r="O107" i="1"/>
  <c r="P107" i="1"/>
  <c r="Q107" i="1"/>
  <c r="R107" i="1"/>
  <c r="S107" i="1"/>
  <c r="U107" i="1" s="1"/>
  <c r="V107" i="1"/>
  <c r="W107" i="1"/>
  <c r="X107" i="1"/>
  <c r="I108" i="1"/>
  <c r="J108" i="1" s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I109" i="1"/>
  <c r="J109" i="1"/>
  <c r="K109" i="1"/>
  <c r="L109" i="1"/>
  <c r="M109" i="1"/>
  <c r="N109" i="1"/>
  <c r="O109" i="1"/>
  <c r="P109" i="1"/>
  <c r="S109" i="1" s="1"/>
  <c r="T109" i="1" s="1"/>
  <c r="Q109" i="1"/>
  <c r="R109" i="1"/>
  <c r="V109" i="1"/>
  <c r="W109" i="1"/>
  <c r="X109" i="1"/>
  <c r="I110" i="1"/>
  <c r="J110" i="1"/>
  <c r="K110" i="1"/>
  <c r="L110" i="1"/>
  <c r="M110" i="1"/>
  <c r="N110" i="1"/>
  <c r="O110" i="1"/>
  <c r="P110" i="1"/>
  <c r="Q110" i="1"/>
  <c r="R110" i="1"/>
  <c r="S110" i="1"/>
  <c r="U110" i="1" s="1"/>
  <c r="T110" i="1"/>
  <c r="V110" i="1"/>
  <c r="W110" i="1"/>
  <c r="X110" i="1"/>
  <c r="I111" i="1"/>
  <c r="J111" i="1"/>
  <c r="K111" i="1"/>
  <c r="L111" i="1"/>
  <c r="M111" i="1"/>
  <c r="N111" i="1"/>
  <c r="O111" i="1"/>
  <c r="P111" i="1"/>
  <c r="S111" i="1" s="1"/>
  <c r="T111" i="1" s="1"/>
  <c r="Q111" i="1"/>
  <c r="R111" i="1"/>
  <c r="V111" i="1"/>
  <c r="W111" i="1"/>
  <c r="X111" i="1"/>
  <c r="I112" i="1"/>
  <c r="J112" i="1"/>
  <c r="K112" i="1"/>
  <c r="L112" i="1"/>
  <c r="M112" i="1"/>
  <c r="N112" i="1"/>
  <c r="O112" i="1"/>
  <c r="P112" i="1"/>
  <c r="S112" i="1" s="1"/>
  <c r="Q112" i="1"/>
  <c r="R112" i="1"/>
  <c r="V112" i="1"/>
  <c r="W112" i="1"/>
  <c r="X112" i="1"/>
  <c r="I113" i="1"/>
  <c r="J113" i="1" s="1"/>
  <c r="K113" i="1"/>
  <c r="L113" i="1"/>
  <c r="M113" i="1"/>
  <c r="N113" i="1"/>
  <c r="O113" i="1"/>
  <c r="P113" i="1"/>
  <c r="Q113" i="1"/>
  <c r="R113" i="1"/>
  <c r="S113" i="1"/>
  <c r="T113" i="1" s="1"/>
  <c r="V113" i="1"/>
  <c r="W113" i="1"/>
  <c r="X113" i="1"/>
  <c r="I114" i="1"/>
  <c r="J114" i="1"/>
  <c r="K114" i="1"/>
  <c r="L114" i="1"/>
  <c r="M114" i="1"/>
  <c r="N114" i="1"/>
  <c r="O114" i="1"/>
  <c r="P114" i="1"/>
  <c r="S114" i="1" s="1"/>
  <c r="T114" i="1" s="1"/>
  <c r="Q114" i="1"/>
  <c r="R114" i="1"/>
  <c r="U114" i="1"/>
  <c r="V114" i="1"/>
  <c r="W114" i="1"/>
  <c r="X114" i="1"/>
  <c r="I115" i="1"/>
  <c r="J115" i="1" s="1"/>
  <c r="K115" i="1"/>
  <c r="L115" i="1"/>
  <c r="M115" i="1"/>
  <c r="N115" i="1"/>
  <c r="O115" i="1"/>
  <c r="P115" i="1"/>
  <c r="Q115" i="1"/>
  <c r="R115" i="1"/>
  <c r="S115" i="1"/>
  <c r="U115" i="1" s="1"/>
  <c r="V115" i="1"/>
  <c r="W115" i="1"/>
  <c r="X115" i="1"/>
  <c r="I116" i="1"/>
  <c r="J116" i="1"/>
  <c r="K116" i="1"/>
  <c r="L116" i="1"/>
  <c r="M116" i="1"/>
  <c r="N116" i="1"/>
  <c r="O116" i="1"/>
  <c r="P116" i="1"/>
  <c r="S116" i="1" s="1"/>
  <c r="T116" i="1" s="1"/>
  <c r="Q116" i="1"/>
  <c r="R116" i="1"/>
  <c r="V116" i="1"/>
  <c r="W116" i="1"/>
  <c r="X116" i="1"/>
  <c r="I117" i="1"/>
  <c r="J117" i="1"/>
  <c r="K117" i="1"/>
  <c r="L117" i="1"/>
  <c r="M117" i="1"/>
  <c r="N117" i="1"/>
  <c r="O117" i="1"/>
  <c r="P117" i="1"/>
  <c r="Q117" i="1"/>
  <c r="R117" i="1"/>
  <c r="S117" i="1"/>
  <c r="U117" i="1" s="1"/>
  <c r="V117" i="1"/>
  <c r="W117" i="1"/>
  <c r="X117" i="1"/>
  <c r="I118" i="1"/>
  <c r="J118" i="1" s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 s="1"/>
  <c r="I119" i="1"/>
  <c r="J119" i="1"/>
  <c r="K119" i="1"/>
  <c r="L119" i="1"/>
  <c r="M119" i="1"/>
  <c r="N119" i="1"/>
  <c r="O119" i="1"/>
  <c r="P119" i="1"/>
  <c r="S119" i="1" s="1"/>
  <c r="T119" i="1" s="1"/>
  <c r="Q119" i="1"/>
  <c r="R119" i="1"/>
  <c r="U119" i="1"/>
  <c r="V119" i="1"/>
  <c r="W119" i="1"/>
  <c r="X119" i="1"/>
  <c r="I120" i="1"/>
  <c r="J120" i="1"/>
  <c r="K120" i="1"/>
  <c r="L120" i="1"/>
  <c r="M120" i="1"/>
  <c r="N120" i="1"/>
  <c r="O120" i="1"/>
  <c r="P120" i="1"/>
  <c r="S120" i="1" s="1"/>
  <c r="Q120" i="1"/>
  <c r="R120" i="1"/>
  <c r="V120" i="1"/>
  <c r="W120" i="1"/>
  <c r="X120" i="1"/>
  <c r="I121" i="1"/>
  <c r="J121" i="1"/>
  <c r="K121" i="1"/>
  <c r="L121" i="1"/>
  <c r="M121" i="1"/>
  <c r="N121" i="1"/>
  <c r="O121" i="1"/>
  <c r="P121" i="1"/>
  <c r="S121" i="1" s="1"/>
  <c r="T121" i="1" s="1"/>
  <c r="Q121" i="1"/>
  <c r="R121" i="1"/>
  <c r="V121" i="1"/>
  <c r="W121" i="1"/>
  <c r="X121" i="1" s="1"/>
  <c r="I122" i="1"/>
  <c r="J122" i="1"/>
  <c r="K122" i="1"/>
  <c r="L122" i="1"/>
  <c r="M122" i="1"/>
  <c r="N122" i="1"/>
  <c r="O122" i="1"/>
  <c r="P122" i="1"/>
  <c r="S122" i="1" s="1"/>
  <c r="Q122" i="1"/>
  <c r="R122" i="1"/>
  <c r="V122" i="1"/>
  <c r="W122" i="1"/>
  <c r="X122" i="1"/>
  <c r="I123" i="1"/>
  <c r="J123" i="1"/>
  <c r="K123" i="1"/>
  <c r="L123" i="1"/>
  <c r="M123" i="1"/>
  <c r="N123" i="1"/>
  <c r="O123" i="1"/>
  <c r="P123" i="1"/>
  <c r="S123" i="1" s="1"/>
  <c r="Q123" i="1"/>
  <c r="R123" i="1"/>
  <c r="V123" i="1"/>
  <c r="W123" i="1"/>
  <c r="X123" i="1"/>
  <c r="I124" i="1"/>
  <c r="J124" i="1"/>
  <c r="K124" i="1"/>
  <c r="L124" i="1"/>
  <c r="M124" i="1"/>
  <c r="N124" i="1"/>
  <c r="O124" i="1"/>
  <c r="P124" i="1"/>
  <c r="S124" i="1" s="1"/>
  <c r="T124" i="1" s="1"/>
  <c r="Q124" i="1"/>
  <c r="R124" i="1"/>
  <c r="V124" i="1"/>
  <c r="W124" i="1"/>
  <c r="X124" i="1" s="1"/>
  <c r="I125" i="1"/>
  <c r="J125" i="1" s="1"/>
  <c r="K125" i="1"/>
  <c r="L125" i="1"/>
  <c r="M125" i="1"/>
  <c r="N125" i="1"/>
  <c r="O125" i="1"/>
  <c r="P125" i="1"/>
  <c r="Q125" i="1"/>
  <c r="R125" i="1"/>
  <c r="S125" i="1"/>
  <c r="U125" i="1" s="1"/>
  <c r="T125" i="1"/>
  <c r="V125" i="1"/>
  <c r="W125" i="1"/>
  <c r="X125" i="1"/>
  <c r="I126" i="1"/>
  <c r="J126" i="1" s="1"/>
  <c r="K126" i="1"/>
  <c r="L126" i="1"/>
  <c r="M126" i="1"/>
  <c r="N126" i="1"/>
  <c r="O126" i="1"/>
  <c r="P126" i="1"/>
  <c r="S126" i="1" s="1"/>
  <c r="T126" i="1" s="1"/>
  <c r="Q126" i="1"/>
  <c r="R126" i="1"/>
  <c r="V126" i="1"/>
  <c r="W126" i="1"/>
  <c r="X126" i="1"/>
  <c r="I127" i="1"/>
  <c r="J127" i="1"/>
  <c r="K127" i="1"/>
  <c r="L127" i="1"/>
  <c r="M127" i="1"/>
  <c r="N127" i="1"/>
  <c r="O127" i="1"/>
  <c r="P127" i="1"/>
  <c r="S127" i="1" s="1"/>
  <c r="Q127" i="1"/>
  <c r="R127" i="1"/>
  <c r="V127" i="1"/>
  <c r="W127" i="1"/>
  <c r="X127" i="1"/>
  <c r="I128" i="1"/>
  <c r="J128" i="1"/>
  <c r="K128" i="1"/>
  <c r="L128" i="1"/>
  <c r="M128" i="1"/>
  <c r="N128" i="1"/>
  <c r="O128" i="1"/>
  <c r="P128" i="1"/>
  <c r="S128" i="1" s="1"/>
  <c r="Q128" i="1"/>
  <c r="R128" i="1"/>
  <c r="V128" i="1"/>
  <c r="W128" i="1"/>
  <c r="X128" i="1"/>
  <c r="I129" i="1"/>
  <c r="J129" i="1"/>
  <c r="K129" i="1"/>
  <c r="L129" i="1"/>
  <c r="M129" i="1"/>
  <c r="N129" i="1"/>
  <c r="O129" i="1"/>
  <c r="P129" i="1"/>
  <c r="S129" i="1" s="1"/>
  <c r="T129" i="1" s="1"/>
  <c r="Q129" i="1"/>
  <c r="R129" i="1"/>
  <c r="U129" i="1"/>
  <c r="V129" i="1"/>
  <c r="W129" i="1"/>
  <c r="X129" i="1"/>
  <c r="I130" i="1"/>
  <c r="J130" i="1"/>
  <c r="K130" i="1"/>
  <c r="L130" i="1"/>
  <c r="M130" i="1"/>
  <c r="N130" i="1"/>
  <c r="O130" i="1"/>
  <c r="P130" i="1"/>
  <c r="Q130" i="1"/>
  <c r="R130" i="1"/>
  <c r="S130" i="1"/>
  <c r="U130" i="1" s="1"/>
  <c r="T130" i="1"/>
  <c r="V130" i="1"/>
  <c r="W130" i="1"/>
  <c r="X130" i="1"/>
  <c r="I131" i="1"/>
  <c r="J131" i="1"/>
  <c r="K131" i="1"/>
  <c r="L131" i="1"/>
  <c r="M131" i="1"/>
  <c r="N131" i="1"/>
  <c r="O131" i="1"/>
  <c r="P131" i="1"/>
  <c r="S131" i="1" s="1"/>
  <c r="T131" i="1" s="1"/>
  <c r="Q131" i="1"/>
  <c r="R131" i="1"/>
  <c r="V131" i="1"/>
  <c r="W131" i="1"/>
  <c r="X131" i="1" s="1"/>
  <c r="I132" i="1"/>
  <c r="J132" i="1"/>
  <c r="K132" i="1"/>
  <c r="L132" i="1"/>
  <c r="M132" i="1"/>
  <c r="N132" i="1"/>
  <c r="O132" i="1"/>
  <c r="P132" i="1"/>
  <c r="S132" i="1" s="1"/>
  <c r="Q132" i="1"/>
  <c r="R132" i="1"/>
  <c r="V132" i="1"/>
  <c r="W132" i="1"/>
  <c r="X132" i="1"/>
  <c r="I133" i="1"/>
  <c r="J133" i="1" s="1"/>
  <c r="K133" i="1"/>
  <c r="L133" i="1"/>
  <c r="M133" i="1"/>
  <c r="N133" i="1"/>
  <c r="O133" i="1"/>
  <c r="P133" i="1"/>
  <c r="Q133" i="1"/>
  <c r="R133" i="1"/>
  <c r="S133" i="1"/>
  <c r="T133" i="1" s="1"/>
  <c r="V133" i="1"/>
  <c r="W133" i="1"/>
  <c r="X133" i="1"/>
  <c r="I134" i="1"/>
  <c r="J134" i="1"/>
  <c r="K134" i="1"/>
  <c r="L134" i="1"/>
  <c r="M134" i="1"/>
  <c r="N134" i="1"/>
  <c r="O134" i="1"/>
  <c r="P134" i="1"/>
  <c r="S134" i="1" s="1"/>
  <c r="T134" i="1" s="1"/>
  <c r="Q134" i="1"/>
  <c r="R134" i="1"/>
  <c r="V134" i="1"/>
  <c r="W134" i="1"/>
  <c r="X134" i="1"/>
  <c r="I135" i="1"/>
  <c r="J135" i="1"/>
  <c r="K135" i="1"/>
  <c r="L135" i="1"/>
  <c r="M135" i="1"/>
  <c r="N135" i="1"/>
  <c r="O135" i="1"/>
  <c r="P135" i="1"/>
  <c r="Q135" i="1"/>
  <c r="R135" i="1"/>
  <c r="S135" i="1"/>
  <c r="U135" i="1" s="1"/>
  <c r="T135" i="1"/>
  <c r="V135" i="1"/>
  <c r="W135" i="1"/>
  <c r="X135" i="1"/>
  <c r="I136" i="1"/>
  <c r="J136" i="1" s="1"/>
  <c r="K136" i="1"/>
  <c r="L136" i="1"/>
  <c r="M136" i="1"/>
  <c r="N136" i="1"/>
  <c r="O136" i="1"/>
  <c r="P136" i="1"/>
  <c r="S136" i="1" s="1"/>
  <c r="T136" i="1" s="1"/>
  <c r="Q136" i="1"/>
  <c r="R136" i="1"/>
  <c r="V136" i="1"/>
  <c r="W136" i="1"/>
  <c r="X136" i="1"/>
  <c r="I137" i="1"/>
  <c r="J137" i="1"/>
  <c r="K137" i="1"/>
  <c r="L137" i="1"/>
  <c r="M137" i="1"/>
  <c r="N137" i="1"/>
  <c r="O137" i="1"/>
  <c r="P137" i="1"/>
  <c r="S137" i="1" s="1"/>
  <c r="Q137" i="1"/>
  <c r="R137" i="1"/>
  <c r="V137" i="1"/>
  <c r="W137" i="1"/>
  <c r="X137" i="1"/>
  <c r="I138" i="1"/>
  <c r="J138" i="1"/>
  <c r="K138" i="1"/>
  <c r="L138" i="1"/>
  <c r="M138" i="1"/>
  <c r="N138" i="1"/>
  <c r="O138" i="1"/>
  <c r="P138" i="1"/>
  <c r="S138" i="1" s="1"/>
  <c r="Q138" i="1"/>
  <c r="R138" i="1"/>
  <c r="V138" i="1"/>
  <c r="W138" i="1"/>
  <c r="X138" i="1"/>
  <c r="I139" i="1"/>
  <c r="J139" i="1"/>
  <c r="K139" i="1"/>
  <c r="L139" i="1"/>
  <c r="M139" i="1"/>
  <c r="N139" i="1"/>
  <c r="O139" i="1"/>
  <c r="P139" i="1"/>
  <c r="S139" i="1" s="1"/>
  <c r="T139" i="1" s="1"/>
  <c r="Q139" i="1"/>
  <c r="R139" i="1"/>
  <c r="U139" i="1"/>
  <c r="V139" i="1"/>
  <c r="W139" i="1"/>
  <c r="X139" i="1"/>
  <c r="I140" i="1"/>
  <c r="J140" i="1" s="1"/>
  <c r="K140" i="1"/>
  <c r="L140" i="1"/>
  <c r="M140" i="1"/>
  <c r="N140" i="1"/>
  <c r="O140" i="1"/>
  <c r="P140" i="1"/>
  <c r="Q140" i="1"/>
  <c r="R140" i="1"/>
  <c r="S140" i="1"/>
  <c r="U140" i="1" s="1"/>
  <c r="V140" i="1"/>
  <c r="W140" i="1"/>
  <c r="X140" i="1"/>
  <c r="I141" i="1"/>
  <c r="J141" i="1"/>
  <c r="K141" i="1"/>
  <c r="L141" i="1"/>
  <c r="M141" i="1"/>
  <c r="N141" i="1"/>
  <c r="O141" i="1"/>
  <c r="P141" i="1"/>
  <c r="S141" i="1" s="1"/>
  <c r="T141" i="1" s="1"/>
  <c r="Q141" i="1"/>
  <c r="R141" i="1"/>
  <c r="V141" i="1"/>
  <c r="W141" i="1"/>
  <c r="X141" i="1"/>
  <c r="I142" i="1"/>
  <c r="J142" i="1"/>
  <c r="K142" i="1"/>
  <c r="L142" i="1"/>
  <c r="M142" i="1"/>
  <c r="N142" i="1"/>
  <c r="O142" i="1"/>
  <c r="P142" i="1"/>
  <c r="Q142" i="1"/>
  <c r="R142" i="1"/>
  <c r="S142" i="1"/>
  <c r="U142" i="1" s="1"/>
  <c r="T142" i="1"/>
  <c r="V142" i="1"/>
  <c r="W142" i="1"/>
  <c r="X142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I144" i="1"/>
  <c r="J144" i="1" s="1"/>
  <c r="K144" i="1"/>
  <c r="L144" i="1"/>
  <c r="M144" i="1"/>
  <c r="N144" i="1"/>
  <c r="O144" i="1"/>
  <c r="P144" i="1"/>
  <c r="S144" i="1" s="1"/>
  <c r="T144" i="1" s="1"/>
  <c r="Q144" i="1"/>
  <c r="R144" i="1"/>
  <c r="V144" i="1"/>
  <c r="W144" i="1"/>
  <c r="X144" i="1"/>
  <c r="I145" i="1"/>
  <c r="J145" i="1"/>
  <c r="K145" i="1"/>
  <c r="L145" i="1"/>
  <c r="M145" i="1"/>
  <c r="N145" i="1"/>
  <c r="O145" i="1"/>
  <c r="P145" i="1"/>
  <c r="S145" i="1" s="1"/>
  <c r="Q145" i="1"/>
  <c r="R145" i="1"/>
  <c r="V145" i="1"/>
  <c r="W145" i="1"/>
  <c r="X145" i="1"/>
  <c r="I146" i="1"/>
  <c r="J146" i="1" s="1"/>
  <c r="K146" i="1"/>
  <c r="L146" i="1"/>
  <c r="M146" i="1"/>
  <c r="N146" i="1"/>
  <c r="O146" i="1"/>
  <c r="P146" i="1"/>
  <c r="S146" i="1" s="1"/>
  <c r="T146" i="1" s="1"/>
  <c r="Q146" i="1"/>
  <c r="R146" i="1"/>
  <c r="U146" i="1"/>
  <c r="V146" i="1"/>
  <c r="W146" i="1"/>
  <c r="X146" i="1" s="1"/>
  <c r="I147" i="1"/>
  <c r="J147" i="1" s="1"/>
  <c r="K147" i="1"/>
  <c r="L147" i="1"/>
  <c r="M147" i="1"/>
  <c r="N147" i="1"/>
  <c r="O147" i="1"/>
  <c r="P147" i="1"/>
  <c r="Q147" i="1"/>
  <c r="R147" i="1"/>
  <c r="S147" i="1"/>
  <c r="U147" i="1" s="1"/>
  <c r="T147" i="1"/>
  <c r="V147" i="1"/>
  <c r="W147" i="1"/>
  <c r="X147" i="1"/>
  <c r="I148" i="1"/>
  <c r="J148" i="1"/>
  <c r="K148" i="1"/>
  <c r="L148" i="1"/>
  <c r="M148" i="1"/>
  <c r="N148" i="1"/>
  <c r="O148" i="1"/>
  <c r="P148" i="1"/>
  <c r="S148" i="1" s="1"/>
  <c r="Q148" i="1"/>
  <c r="R148" i="1"/>
  <c r="V148" i="1"/>
  <c r="W148" i="1"/>
  <c r="X148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2" i="3"/>
  <c r="M5" i="1"/>
  <c r="U18" i="1" l="1"/>
  <c r="T18" i="1"/>
  <c r="U100" i="1"/>
  <c r="T100" i="1"/>
  <c r="U93" i="1"/>
  <c r="T93" i="1"/>
  <c r="U120" i="1"/>
  <c r="T120" i="1"/>
  <c r="U87" i="1"/>
  <c r="T87" i="1"/>
  <c r="U58" i="1"/>
  <c r="T58" i="1"/>
  <c r="U15" i="1"/>
  <c r="T15" i="1"/>
  <c r="U62" i="1"/>
  <c r="T62" i="1"/>
  <c r="U77" i="1"/>
  <c r="T77" i="1"/>
  <c r="U48" i="1"/>
  <c r="T48" i="1"/>
  <c r="U23" i="1"/>
  <c r="T23" i="1"/>
  <c r="U105" i="1"/>
  <c r="T105" i="1"/>
  <c r="T73" i="1"/>
  <c r="U73" i="1"/>
  <c r="U112" i="1"/>
  <c r="T112" i="1"/>
  <c r="U37" i="1"/>
  <c r="T37" i="1"/>
  <c r="U80" i="1"/>
  <c r="T80" i="1"/>
  <c r="U127" i="1"/>
  <c r="T127" i="1"/>
  <c r="T123" i="1"/>
  <c r="U123" i="1"/>
  <c r="U47" i="1"/>
  <c r="T47" i="1"/>
  <c r="U138" i="1"/>
  <c r="T138" i="1"/>
  <c r="U45" i="1"/>
  <c r="T45" i="1"/>
  <c r="U145" i="1"/>
  <c r="T145" i="1"/>
  <c r="U148" i="1"/>
  <c r="T148" i="1"/>
  <c r="U40" i="1"/>
  <c r="T40" i="1"/>
  <c r="T43" i="1"/>
  <c r="U43" i="1"/>
  <c r="U30" i="1"/>
  <c r="T30" i="1"/>
  <c r="U70" i="1"/>
  <c r="T70" i="1"/>
  <c r="T63" i="1"/>
  <c r="U63" i="1"/>
  <c r="U95" i="1"/>
  <c r="T95" i="1"/>
  <c r="T33" i="1"/>
  <c r="U33" i="1"/>
  <c r="U25" i="1"/>
  <c r="T25" i="1"/>
  <c r="T68" i="1"/>
  <c r="U68" i="1"/>
  <c r="U98" i="1"/>
  <c r="T98" i="1"/>
  <c r="U55" i="1"/>
  <c r="T55" i="1"/>
  <c r="U137" i="1"/>
  <c r="T137" i="1"/>
  <c r="U128" i="1"/>
  <c r="T128" i="1"/>
  <c r="U52" i="1"/>
  <c r="T52" i="1"/>
  <c r="U101" i="1"/>
  <c r="U141" i="1"/>
  <c r="U116" i="1"/>
  <c r="U51" i="1"/>
  <c r="U131" i="1"/>
  <c r="U91" i="1"/>
  <c r="U66" i="1"/>
  <c r="U113" i="1"/>
  <c r="U124" i="1"/>
  <c r="T102" i="1"/>
  <c r="U81" i="1"/>
  <c r="U41" i="1"/>
  <c r="T27" i="1"/>
  <c r="T20" i="1"/>
  <c r="U121" i="1"/>
  <c r="T92" i="1"/>
  <c r="T85" i="1"/>
  <c r="U56" i="1"/>
  <c r="T38" i="1"/>
  <c r="U24" i="1"/>
  <c r="T17" i="1"/>
  <c r="U133" i="1"/>
  <c r="U79" i="1"/>
  <c r="U39" i="1"/>
  <c r="T140" i="1"/>
  <c r="T115" i="1"/>
  <c r="U111" i="1"/>
  <c r="U104" i="1"/>
  <c r="U29" i="1"/>
  <c r="T65" i="1"/>
  <c r="T22" i="1"/>
  <c r="U32" i="1"/>
  <c r="T32" i="1"/>
  <c r="U132" i="1"/>
  <c r="T132" i="1"/>
  <c r="U82" i="1"/>
  <c r="T82" i="1"/>
  <c r="U122" i="1"/>
  <c r="T122" i="1"/>
  <c r="U72" i="1"/>
  <c r="T72" i="1"/>
  <c r="T16" i="1"/>
  <c r="U16" i="1"/>
  <c r="T31" i="1"/>
  <c r="U31" i="1"/>
  <c r="U109" i="1"/>
  <c r="U59" i="1"/>
  <c r="U136" i="1"/>
  <c r="U86" i="1"/>
  <c r="U36" i="1"/>
  <c r="U144" i="1"/>
  <c r="T117" i="1"/>
  <c r="U94" i="1"/>
  <c r="T67" i="1"/>
  <c r="U44" i="1"/>
  <c r="T19" i="1"/>
  <c r="U19" i="1"/>
  <c r="T21" i="1"/>
  <c r="U21" i="1"/>
  <c r="T14" i="1"/>
  <c r="U14" i="1"/>
  <c r="U99" i="1"/>
  <c r="U49" i="1"/>
  <c r="U126" i="1"/>
  <c r="U76" i="1"/>
  <c r="U134" i="1"/>
  <c r="T107" i="1"/>
  <c r="U84" i="1"/>
  <c r="T57" i="1"/>
  <c r="U34" i="1"/>
  <c r="T26" i="1"/>
  <c r="U26" i="1"/>
</calcChain>
</file>

<file path=xl/sharedStrings.xml><?xml version="1.0" encoding="utf-8"?>
<sst xmlns="http://schemas.openxmlformats.org/spreadsheetml/2006/main" count="1463" uniqueCount="1128">
  <si>
    <t>custId</t>
  </si>
  <si>
    <t>custid</t>
  </si>
  <si>
    <t>vehiclenum</t>
  </si>
  <si>
    <t>phone1</t>
  </si>
  <si>
    <t>phone2</t>
  </si>
  <si>
    <t>Year</t>
  </si>
  <si>
    <t>email</t>
  </si>
  <si>
    <t>Manufacturer</t>
  </si>
  <si>
    <t>Model</t>
  </si>
  <si>
    <t>Price_in_thousands</t>
  </si>
  <si>
    <t>216-230-4892</t>
  </si>
  <si>
    <t>1216-937-5320</t>
  </si>
  <si>
    <t>Engine_size</t>
  </si>
  <si>
    <t>adelina_nabours@gmail.com</t>
  </si>
  <si>
    <t>Horsepower</t>
  </si>
  <si>
    <t>1717-528-8996</t>
  </si>
  <si>
    <t>Wheelbase</t>
  </si>
  <si>
    <t>ahmed.angalich@angalich.com</t>
  </si>
  <si>
    <t>Width</t>
  </si>
  <si>
    <t>(1)904-775-4480</t>
  </si>
  <si>
    <t>Length</t>
  </si>
  <si>
    <t>904-514-9918</t>
  </si>
  <si>
    <t>ahoneywell@honeywell.com</t>
  </si>
  <si>
    <t>Curb_weight</t>
  </si>
  <si>
    <t>1303-301-4946</t>
  </si>
  <si>
    <t>Fuel_capacity</t>
  </si>
  <si>
    <t>303-521-9860</t>
  </si>
  <si>
    <t>alease@buemi.com</t>
  </si>
  <si>
    <t>Fuel_efficiency</t>
  </si>
  <si>
    <t>(1)202-646-7516</t>
  </si>
  <si>
    <t>1202-276-6826</t>
  </si>
  <si>
    <t>alesia_hixenbaugh@hixenbaugh.org</t>
  </si>
  <si>
    <t>Latest_Service</t>
  </si>
  <si>
    <t>856-312-2629</t>
  </si>
  <si>
    <t>856-513-7024</t>
  </si>
  <si>
    <t>alpha@yahoo.com</t>
  </si>
  <si>
    <t>972-419-7946</t>
  </si>
  <si>
    <t>amie.perigo@yahoo.com</t>
  </si>
  <si>
    <t>1609-228-5265</t>
  </si>
  <si>
    <t>Power_perf_factor</t>
  </si>
  <si>
    <t>1609-854-7156</t>
  </si>
  <si>
    <t>an_fritz@hotmail.com</t>
  </si>
  <si>
    <t>mileage</t>
  </si>
  <si>
    <t>(1)410-757-1035</t>
  </si>
  <si>
    <t>1410-234-2267</t>
  </si>
  <si>
    <t>annelle@yahoo.com</t>
  </si>
  <si>
    <t>201-238-5688</t>
  </si>
  <si>
    <t>1201-772-4377</t>
  </si>
  <si>
    <t>arthur.farrow@yahoo.com</t>
  </si>
  <si>
    <t>615-406-7854</t>
  </si>
  <si>
    <t>audra@kohnert.com</t>
  </si>
  <si>
    <t>Instructions</t>
  </si>
  <si>
    <t>1770-507-8791</t>
  </si>
  <si>
    <t>1770-802-4003</t>
  </si>
  <si>
    <t>belen_strassner@aol.com</t>
  </si>
  <si>
    <t>(1)610-545-3615</t>
  </si>
  <si>
    <t>bette_nicka@cox.net</t>
  </si>
  <si>
    <t>1208-709-1235</t>
  </si>
  <si>
    <t>Helpful Formulas</t>
  </si>
  <si>
    <t>bgillaspie@gillaspie.com</t>
  </si>
  <si>
    <t>1718-809-3762</t>
  </si>
  <si>
    <t>Lincoln</t>
  </si>
  <si>
    <t>718-478-8568</t>
  </si>
  <si>
    <t>bok.isaacs@aol.com</t>
  </si>
  <si>
    <t>Navigator</t>
  </si>
  <si>
    <t>440-989-5826</t>
  </si>
  <si>
    <t>1440-327-2093</t>
  </si>
  <si>
    <t>buddy.cloney@yahoo.com</t>
  </si>
  <si>
    <t>615-246-1824</t>
  </si>
  <si>
    <t>caprice@aol.com</t>
  </si>
  <si>
    <t>(1)785-347-1805</t>
  </si>
  <si>
    <t>1785-253-7049</t>
  </si>
  <si>
    <t>carlee.boulter@hotmail.com</t>
  </si>
  <si>
    <t>(1)510-503-7169</t>
  </si>
  <si>
    <t>carma@cox.net</t>
  </si>
  <si>
    <t>303-724-7371</t>
  </si>
  <si>
    <t>carmelina_lindall@lindall.com</t>
  </si>
  <si>
    <t>On Data Set 1, fill in data from the missing headers</t>
  </si>
  <si>
    <t>615-390-2251</t>
  </si>
  <si>
    <t>casie.good@aol.com</t>
  </si>
  <si>
    <t>(1)847-633-3216</t>
  </si>
  <si>
    <t>1847-755-9041</t>
  </si>
  <si>
    <t>cassi.wildfong@aol.com</t>
  </si>
  <si>
    <t>Oldsmobile</t>
  </si>
  <si>
    <t>XLOOKUP</t>
  </si>
  <si>
    <t>Silhouette</t>
  </si>
  <si>
    <t>COUNTIF</t>
  </si>
  <si>
    <t>RIGHT</t>
  </si>
  <si>
    <t>LEN</t>
  </si>
  <si>
    <t>1a</t>
  </si>
  <si>
    <t>As best as possible. Show all transformation steps in formulas</t>
  </si>
  <si>
    <t>Dodge</t>
  </si>
  <si>
    <t>Intrepid</t>
  </si>
  <si>
    <t>VLOOKUP</t>
  </si>
  <si>
    <t>SUM</t>
  </si>
  <si>
    <t>LEFT</t>
  </si>
  <si>
    <t>TEXT</t>
  </si>
  <si>
    <t>Volvo</t>
  </si>
  <si>
    <t>V40</t>
  </si>
  <si>
    <t>609-373-3332</t>
  </si>
  <si>
    <t>catalina@hotmail.com</t>
  </si>
  <si>
    <t>1b</t>
  </si>
  <si>
    <t xml:space="preserve">Feel free to add any helper columns </t>
  </si>
  <si>
    <t>773-494-4195</t>
  </si>
  <si>
    <t>773-297-9391</t>
  </si>
  <si>
    <t>ccookey@cookey.org</t>
  </si>
  <si>
    <t>INDEX-MATCH</t>
  </si>
  <si>
    <t>SUMIF</t>
  </si>
  <si>
    <t>(1)608-382-4541</t>
  </si>
  <si>
    <t>MID</t>
  </si>
  <si>
    <t>EDATE</t>
  </si>
  <si>
    <t>608-302-3387</t>
  </si>
  <si>
    <t>cecilia_colaizzo@colaizzo.com</t>
  </si>
  <si>
    <t>1952-334-9408</t>
  </si>
  <si>
    <t>952-938-9457</t>
  </si>
  <si>
    <t>Volkswagen</t>
  </si>
  <si>
    <t>cgoldammer@cox.net</t>
  </si>
  <si>
    <t>GTI</t>
  </si>
  <si>
    <t>1609-518-7697</t>
  </si>
  <si>
    <t>609-263-9243</t>
  </si>
  <si>
    <t>cheryl@haroldson.org</t>
  </si>
  <si>
    <t>1402-896-5943</t>
  </si>
  <si>
    <t>colette.kardas@yahoo.com</t>
  </si>
  <si>
    <t>508-942-4186</t>
  </si>
  <si>
    <t>corinne@loder.org</t>
  </si>
  <si>
    <t>1336-822-7652</t>
  </si>
  <si>
    <t>1336-467-3095</t>
  </si>
  <si>
    <t>deandrea@yahoo.com</t>
  </si>
  <si>
    <t>(1)510-955-3016</t>
  </si>
  <si>
    <t>Aurora</t>
  </si>
  <si>
    <t>devora_perez@perez.org</t>
  </si>
  <si>
    <t>1505-975-8559</t>
  </si>
  <si>
    <t>505-950-1763</t>
  </si>
  <si>
    <t>devorah@hotmail.com</t>
  </si>
  <si>
    <t>208-649-2373</t>
  </si>
  <si>
    <t>1208-690-3315</t>
  </si>
  <si>
    <t>dhidvegi@yahoo.com</t>
  </si>
  <si>
    <t>1816-557-9673</t>
  </si>
  <si>
    <t>diane@cox.net</t>
  </si>
  <si>
    <t>1510-993-3758</t>
  </si>
  <si>
    <t>1510-901-7640</t>
  </si>
  <si>
    <t>dominque.dickerson@dickerson.org</t>
  </si>
  <si>
    <t>Chevrolet</t>
  </si>
  <si>
    <t>(1)513-570-1893</t>
  </si>
  <si>
    <t>Metro</t>
  </si>
  <si>
    <t>513-549-4561</t>
  </si>
  <si>
    <t>donette.foller@cox.net</t>
  </si>
  <si>
    <t>1214-289-1973</t>
  </si>
  <si>
    <t>1214-785-6750</t>
  </si>
  <si>
    <t>earleen_mai@cox.net</t>
  </si>
  <si>
    <t>(1)410-890-7866</t>
  </si>
  <si>
    <t>410-429-4888</t>
  </si>
  <si>
    <t>eden_jayson@yahoo.com</t>
  </si>
  <si>
    <t>(1)201-474-4924</t>
  </si>
  <si>
    <t>1201-365-8698</t>
  </si>
  <si>
    <t>eladia@saulter.com</t>
  </si>
  <si>
    <t>1608-336-7444</t>
  </si>
  <si>
    <t>Hyundai</t>
  </si>
  <si>
    <t>608-658-7940</t>
  </si>
  <si>
    <t>Elantra</t>
  </si>
  <si>
    <t>emerson.bowley@bowley.org</t>
  </si>
  <si>
    <t>773-704-9903</t>
  </si>
  <si>
    <t>773-359-6109</t>
  </si>
  <si>
    <t>erick_nievas@aol.com</t>
  </si>
  <si>
    <t>(1)201-709-6245</t>
  </si>
  <si>
    <t>1201-387-9093</t>
  </si>
  <si>
    <t>ernie_stenseth@aol.com</t>
  </si>
  <si>
    <t>1c</t>
  </si>
  <si>
    <t>509-755-5393</t>
  </si>
  <si>
    <t>You can search on the internet or ask the interviewer for help if you get stuck</t>
  </si>
  <si>
    <t>ettie.hoopengardner@hotmail.com</t>
  </si>
  <si>
    <t>(1)410-387-5260</t>
  </si>
  <si>
    <t>1410-724-6472</t>
  </si>
  <si>
    <t>CONCAT</t>
  </si>
  <si>
    <t>fjillson@aol.com</t>
  </si>
  <si>
    <t>Saab</t>
  </si>
  <si>
    <t>MAX</t>
  </si>
  <si>
    <t>TRIM</t>
  </si>
  <si>
    <t>(1)308-726-2182</t>
  </si>
  <si>
    <t>TODAY</t>
  </si>
  <si>
    <t>1308-250-6987</t>
  </si>
  <si>
    <t>flo.bookamer@cox.net</t>
  </si>
  <si>
    <t>1856-305-9731</t>
  </si>
  <si>
    <t>1856-828-6021</t>
  </si>
  <si>
    <t>fpoullion@poullion.com</t>
  </si>
  <si>
    <t>505-977-3911</t>
  </si>
  <si>
    <t>francine_vocelka@vocelka.com</t>
  </si>
  <si>
    <t>full_name is first_name and last_name if they exist (i.e "Richard Lee") and blank if not ("")</t>
  </si>
  <si>
    <t>1214-428-2285</t>
  </si>
  <si>
    <t>1214-529-1949</t>
  </si>
  <si>
    <t>frederica_blunk@gmail.com</t>
  </si>
  <si>
    <t>Toyota</t>
  </si>
  <si>
    <t>CONCATENATE</t>
  </si>
  <si>
    <t>610-476-3501</t>
  </si>
  <si>
    <t>Corolla</t>
  </si>
  <si>
    <t>MAXIF</t>
  </si>
  <si>
    <t>1610-752-2683</t>
  </si>
  <si>
    <t>SUBSTITUTE</t>
  </si>
  <si>
    <t>freeman_gochal@aol.com</t>
  </si>
  <si>
    <t>SEARCH</t>
  </si>
  <si>
    <t>1907-435-9166</t>
  </si>
  <si>
    <t>gail@kitty.com</t>
  </si>
  <si>
    <t>216-600-6111</t>
  </si>
  <si>
    <t>1216-871-6876</t>
  </si>
  <si>
    <t>displayname is full_name if it exists or company_name. displayname must be unique</t>
  </si>
  <si>
    <t>galen@yahoo.com</t>
  </si>
  <si>
    <t>(1)215-979-8776</t>
  </si>
  <si>
    <t>IF</t>
  </si>
  <si>
    <t>garry_keetch@hotmail.com</t>
  </si>
  <si>
    <t>AVERAGE</t>
  </si>
  <si>
    <t>ROUND</t>
  </si>
  <si>
    <t>972-934-6914</t>
  </si>
  <si>
    <t>FIND</t>
  </si>
  <si>
    <t>gearldine_gellinger@gellinger.com</t>
  </si>
  <si>
    <t>Jeep</t>
  </si>
  <si>
    <t>Grand Cherokee</t>
  </si>
  <si>
    <t>847-222-1734</t>
  </si>
  <si>
    <t>phone1 and phone2 should be numeric characters only and not start with a 1</t>
  </si>
  <si>
    <t>geoffrey@gmail.com</t>
  </si>
  <si>
    <t>1410-224-9462</t>
  </si>
  <si>
    <t>gkulzer@kulzer.org</t>
  </si>
  <si>
    <t>IFNA</t>
  </si>
  <si>
    <t>925-615-5185</t>
  </si>
  <si>
    <t>1925-943-3449</t>
  </si>
  <si>
    <t>gmontezuma@cox.net</t>
  </si>
  <si>
    <t>(1)904-235-3633</t>
  </si>
  <si>
    <t>1904-627-4341</t>
  </si>
  <si>
    <t>gracia@melnyk.com</t>
  </si>
  <si>
    <t>1510-686-3407</t>
  </si>
  <si>
    <t>gschnitzler@gmail.com</t>
  </si>
  <si>
    <t>352-242-2570</t>
  </si>
  <si>
    <t>1352-990-5946</t>
  </si>
  <si>
    <t>hillary.skulski@aol.com</t>
  </si>
  <si>
    <t>Please mark all customers with no service in 4 years as "Inactive", rest should be "Active"</t>
  </si>
  <si>
    <t>1303-623-4241</t>
  </si>
  <si>
    <t>hpaulas@gmail.com</t>
  </si>
  <si>
    <t>1410-473-1708</t>
  </si>
  <si>
    <t>410-522-7621</t>
  </si>
  <si>
    <t>idewar@dewar.com</t>
  </si>
  <si>
    <t>1410-914-9018</t>
  </si>
  <si>
    <t>ilene.eroman@hotmail.com</t>
  </si>
  <si>
    <t>Ford</t>
  </si>
  <si>
    <t>Taurus</t>
  </si>
  <si>
    <t>(1)770-844-3447</t>
  </si>
  <si>
    <t>1770-584-4119</t>
  </si>
  <si>
    <t>izetta.funnell@hotmail.com</t>
  </si>
  <si>
    <t>(1)719-853-3600</t>
  </si>
  <si>
    <t>719-223-2074</t>
  </si>
  <si>
    <t>jaclyn@aol.com</t>
  </si>
  <si>
    <t>269-756-7222</t>
  </si>
  <si>
    <t>269-431-9464</t>
  </si>
  <si>
    <t>jaquas@aquas.com</t>
  </si>
  <si>
    <t>1847-979-9545</t>
  </si>
  <si>
    <t>jfallick@yahoo.com</t>
  </si>
  <si>
    <t>608-967-7194</t>
  </si>
  <si>
    <t>Pontiac</t>
  </si>
  <si>
    <t>608-586-6912</t>
  </si>
  <si>
    <t>jgabisi@hotmail.com</t>
  </si>
  <si>
    <t>Grand Am</t>
  </si>
  <si>
    <t>(1)510-677-9785</t>
  </si>
  <si>
    <t>1510-942-5916</t>
  </si>
  <si>
    <t>joesph_degonia@degonia.org</t>
  </si>
  <si>
    <t>(1)847-519-5906</t>
  </si>
  <si>
    <t>1847-740-5304</t>
  </si>
  <si>
    <t>joni_breland@cox.net</t>
  </si>
  <si>
    <t>(1)931-553-9774</t>
  </si>
  <si>
    <t>931-486-6946</t>
  </si>
  <si>
    <t>josphine_villanueva@villanueva.com</t>
  </si>
  <si>
    <t>931-273-8709</t>
  </si>
  <si>
    <t>1931-739-1551</t>
  </si>
  <si>
    <t>Neon</t>
  </si>
  <si>
    <t>jshin@shin.com</t>
  </si>
  <si>
    <t>1775-638-9963</t>
  </si>
  <si>
    <t>1775-578-1214</t>
  </si>
  <si>
    <t>junita@aol.com</t>
  </si>
  <si>
    <t>(1)321-518-5938</t>
  </si>
  <si>
    <t>1321-597-2159</t>
  </si>
  <si>
    <t>jzurcher@zurcher.org</t>
  </si>
  <si>
    <t>(1)410-665-4903</t>
  </si>
  <si>
    <t>1410-773-3862</t>
  </si>
  <si>
    <t>kaitlyn.ogg@gmail.com</t>
  </si>
  <si>
    <t>Mitsubishi</t>
  </si>
  <si>
    <t>(1)920-353-6377</t>
  </si>
  <si>
    <t>920-355-1610</t>
  </si>
  <si>
    <t>Galant</t>
  </si>
  <si>
    <t>kate_keneipp@yahoo.com</t>
  </si>
  <si>
    <t>785-463-7829</t>
  </si>
  <si>
    <t>1785-219-7724</t>
  </si>
  <si>
    <t>kati.rulapaugh@hotmail.com</t>
  </si>
  <si>
    <t>216-923-3715</t>
  </si>
  <si>
    <t>1216-270-9653</t>
  </si>
  <si>
    <t>kattie@vonasek.org</t>
  </si>
  <si>
    <t>1607-407-3716</t>
  </si>
  <si>
    <t>1607-350-7690</t>
  </si>
  <si>
    <t>kirk.herritt@aol.com</t>
  </si>
  <si>
    <t>1410-655-8723</t>
  </si>
  <si>
    <t>kris@gmail.com</t>
  </si>
  <si>
    <t>Mercedes-B</t>
  </si>
  <si>
    <t>C-Class</t>
  </si>
  <si>
    <t>1915-452-1290</t>
  </si>
  <si>
    <t>kristel.ehmann@aol.com</t>
  </si>
  <si>
    <t>(1)847-728-7286</t>
  </si>
  <si>
    <t>847-957-4614</t>
  </si>
  <si>
    <t>lai.gato@gato.org</t>
  </si>
  <si>
    <t>(1)509-695-5199</t>
  </si>
  <si>
    <t>509-595-6485</t>
  </si>
  <si>
    <t>laurel@yahoo.com</t>
  </si>
  <si>
    <t>(1)410-520-4832</t>
  </si>
  <si>
    <t>1410-957-6903</t>
  </si>
  <si>
    <t>laurel_reitler@reitler.com</t>
  </si>
  <si>
    <t>Mercury</t>
  </si>
  <si>
    <t>Grand Marquis</t>
  </si>
  <si>
    <t>(1)701-898-2154</t>
  </si>
  <si>
    <t>1701-421-7080</t>
  </si>
  <si>
    <t>lavonda@cox.net</t>
  </si>
  <si>
    <t>first_name</t>
  </si>
  <si>
    <t>(1)706-221-4243</t>
  </si>
  <si>
    <t>last_name</t>
  </si>
  <si>
    <t>706-616-5131</t>
  </si>
  <si>
    <t>leota.ragel@gmail.com</t>
  </si>
  <si>
    <t>company_name</t>
  </si>
  <si>
    <t>216-657-7668</t>
  </si>
  <si>
    <t>1216-733-8494</t>
  </si>
  <si>
    <t>lettie_isenhower@yahoo.com</t>
  </si>
  <si>
    <t>address</t>
  </si>
  <si>
    <t>city</t>
  </si>
  <si>
    <t>214-339-1809</t>
  </si>
  <si>
    <t>Plymouth</t>
  </si>
  <si>
    <t>lhagele@cox.net</t>
  </si>
  <si>
    <t>state</t>
  </si>
  <si>
    <t>Breeze</t>
  </si>
  <si>
    <t>856-487-5412</t>
  </si>
  <si>
    <t>1856-702-3676</t>
  </si>
  <si>
    <t>lizette.stem@aol.com</t>
  </si>
  <si>
    <t>zip</t>
  </si>
  <si>
    <t>1410-678-2473</t>
  </si>
  <si>
    <t>full_name</t>
  </si>
  <si>
    <t>1410-912-6032</t>
  </si>
  <si>
    <t>llizama@cox.net</t>
  </si>
  <si>
    <t>displayname</t>
  </si>
  <si>
    <t>street_num</t>
  </si>
  <si>
    <t>931-875-6644</t>
  </si>
  <si>
    <t>lnestle@hotmail.com</t>
  </si>
  <si>
    <t>(1)910-922-3672</t>
  </si>
  <si>
    <t>1910-200-7912</t>
  </si>
  <si>
    <t>number_of_vehicles</t>
  </si>
  <si>
    <t>lonna_diestel@gmail.com</t>
  </si>
  <si>
    <t>vehicle1_name</t>
  </si>
  <si>
    <t>E-Class</t>
  </si>
  <si>
    <t>1210-856-4979</t>
  </si>
  <si>
    <t>vehicle1_last_service_date</t>
  </si>
  <si>
    <t>1210-634-2447</t>
  </si>
  <si>
    <t>lorean.martabano@hotmail.com</t>
  </si>
  <si>
    <t>vehicle2_name</t>
  </si>
  <si>
    <t>1510-828-7047</t>
  </si>
  <si>
    <t>510-472-7758</t>
  </si>
  <si>
    <t>louisa@cronauer.com</t>
  </si>
  <si>
    <t>vehicle2_last_service_date</t>
  </si>
  <si>
    <t>907-385-4412</t>
  </si>
  <si>
    <t>lpaprocki@hotmail.com</t>
  </si>
  <si>
    <t>total mileage</t>
  </si>
  <si>
    <t>customerlastservice</t>
  </si>
  <si>
    <t>1321-749-4981</t>
  </si>
  <si>
    <t>status</t>
  </si>
  <si>
    <t>lucina_lary@cox.net</t>
  </si>
  <si>
    <t>Honda</t>
  </si>
  <si>
    <t>(1)925-634-7158</t>
  </si>
  <si>
    <t>Civic</t>
  </si>
  <si>
    <t>925-541-8521</t>
  </si>
  <si>
    <t>marguerita.hiatt@gmail.com</t>
  </si>
  <si>
    <t>Acme Supply Co</t>
  </si>
  <si>
    <t>1953 Telegraph Rd</t>
  </si>
  <si>
    <t>1773-775-4522</t>
  </si>
  <si>
    <t>Saint Joseph</t>
  </si>
  <si>
    <t>1773-539-1058</t>
  </si>
  <si>
    <t>marti.maybury@yahoo.com</t>
  </si>
  <si>
    <t>MO</t>
  </si>
  <si>
    <t>925-647-3298</t>
  </si>
  <si>
    <t>1925-522-7798</t>
  </si>
  <si>
    <t>micaela_rhymes@gmail.com</t>
  </si>
  <si>
    <t>(1)773-573-6914</t>
  </si>
  <si>
    <t>1773-924-8565</t>
  </si>
  <si>
    <t>mitsue_tollner@yahoo.com</t>
  </si>
  <si>
    <t>(1)303-402-1940</t>
  </si>
  <si>
    <t>303-997-7760</t>
  </si>
  <si>
    <t>Advantage Martgage Company</t>
  </si>
  <si>
    <t>mitzie_hudnall@yahoo.com</t>
  </si>
  <si>
    <t>Firebird</t>
  </si>
  <si>
    <t>73 W Barstow Ave</t>
  </si>
  <si>
    <t>Arlington Heights</t>
  </si>
  <si>
    <t>(1)610-814-5533</t>
  </si>
  <si>
    <t>1610-379-7125</t>
  </si>
  <si>
    <t>IL</t>
  </si>
  <si>
    <t>mmastella@mastella.com</t>
  </si>
  <si>
    <t>1585-866-8313</t>
  </si>
  <si>
    <t>585-498-4278</t>
  </si>
  <si>
    <t>moon@yahoo.com</t>
  </si>
  <si>
    <t>979-718-8968</t>
  </si>
  <si>
    <t>mraymo@yahoo.com</t>
  </si>
  <si>
    <t>Moon</t>
  </si>
  <si>
    <t>Parlato</t>
  </si>
  <si>
    <t>518-966-7987</t>
  </si>
  <si>
    <t>74989 Brandon St</t>
  </si>
  <si>
    <t>mroyster@royster.com</t>
  </si>
  <si>
    <t>Wellsville</t>
  </si>
  <si>
    <t>NY</t>
  </si>
  <si>
    <t>BMW</t>
  </si>
  <si>
    <t>1530-986-9272</t>
  </si>
  <si>
    <t>528i</t>
  </si>
  <si>
    <t>mscipione@scipione.com</t>
  </si>
  <si>
    <t>(1)215-491-5633</t>
  </si>
  <si>
    <t>215-647-2158</t>
  </si>
  <si>
    <t>my@hotmail.com</t>
  </si>
  <si>
    <t>1201-971-1638</t>
  </si>
  <si>
    <t>1201-247-8925</t>
  </si>
  <si>
    <t>nelida@gmail.com</t>
  </si>
  <si>
    <t>Anchorage Museum Of Hist &amp; Art</t>
  </si>
  <si>
    <t>3 State Route 35 S</t>
  </si>
  <si>
    <t>Paramus</t>
  </si>
  <si>
    <t>NJ</t>
  </si>
  <si>
    <t>(1)773-225-9985</t>
  </si>
  <si>
    <t>773-857-2231</t>
  </si>
  <si>
    <t>nichelle_meteer@meteer.com</t>
  </si>
  <si>
    <t>352-598-8301</t>
  </si>
  <si>
    <t>Avalon</t>
  </si>
  <si>
    <t>1352-947-6152</t>
  </si>
  <si>
    <t>nickolas_juvera@cox.net</t>
  </si>
  <si>
    <t>Joesph</t>
  </si>
  <si>
    <t>Degonia</t>
  </si>
  <si>
    <t>A R Packaging</t>
  </si>
  <si>
    <t>508-855-9887</t>
  </si>
  <si>
    <t>2887 Knowlton St #5435</t>
  </si>
  <si>
    <t>1508-897-7916</t>
  </si>
  <si>
    <t>Berkeley</t>
  </si>
  <si>
    <t>nobuko.halsey@yahoo.com</t>
  </si>
  <si>
    <t>CA</t>
  </si>
  <si>
    <t>303-404-2210</t>
  </si>
  <si>
    <t>pamella@fortino.com</t>
  </si>
  <si>
    <t>(1)201-825-2514</t>
  </si>
  <si>
    <t>1201-749-8866</t>
  </si>
  <si>
    <t>pdubaldi@hotmail.com</t>
  </si>
  <si>
    <t>Howard</t>
  </si>
  <si>
    <t>Paulas</t>
  </si>
  <si>
    <t>907-797-9628</t>
  </si>
  <si>
    <t>866 34th Ave</t>
  </si>
  <si>
    <t>penney_weight@aol.com</t>
  </si>
  <si>
    <t>Denver</t>
  </si>
  <si>
    <t>Chrysler</t>
  </si>
  <si>
    <t>CO</t>
  </si>
  <si>
    <t>1952-702-7993</t>
  </si>
  <si>
    <t>Sebring Coupe</t>
  </si>
  <si>
    <t>qbirkner@aol.com</t>
  </si>
  <si>
    <t>(1)510-974-8671</t>
  </si>
  <si>
    <t>510-509-3496</t>
  </si>
  <si>
    <t>refugia.jacobos@jacobos.com</t>
  </si>
  <si>
    <t>1419-571-5920</t>
  </si>
  <si>
    <t>419-488-6648</t>
  </si>
  <si>
    <t>Baird Kurtz &amp; Dobson</t>
  </si>
  <si>
    <t>roselle.estell@hotmail.com</t>
  </si>
  <si>
    <t>82 Winsor St #54</t>
  </si>
  <si>
    <t>Atlanta</t>
  </si>
  <si>
    <t>GA</t>
  </si>
  <si>
    <t>972-558-1665</t>
  </si>
  <si>
    <t>ryan@cox.net</t>
  </si>
  <si>
    <t>229-735-3378</t>
  </si>
  <si>
    <t>Porsche</t>
  </si>
  <si>
    <t>scarlet.cartan@yahoo.com</t>
  </si>
  <si>
    <t>Boxter</t>
  </si>
  <si>
    <t>(1)719-669-1664</t>
  </si>
  <si>
    <t>1719-547-9543</t>
  </si>
  <si>
    <t>sherita.saras@cox.net</t>
  </si>
  <si>
    <t>Lorrie</t>
  </si>
  <si>
    <t>419-503-2484</t>
  </si>
  <si>
    <t>Nestle</t>
  </si>
  <si>
    <t>Ballard Spahr Andrews</t>
  </si>
  <si>
    <t>simona@morasca.com</t>
  </si>
  <si>
    <t>39 S 7th St</t>
  </si>
  <si>
    <t>Tullahoma</t>
  </si>
  <si>
    <t>TN</t>
  </si>
  <si>
    <t>(1)859-717-7638</t>
  </si>
  <si>
    <t>1859-308-4286</t>
  </si>
  <si>
    <t>stephane_myricks@cox.net</t>
  </si>
  <si>
    <t>972-666-3413</t>
  </si>
  <si>
    <t>1972-742-4000</t>
  </si>
  <si>
    <t>sue@aol.com</t>
  </si>
  <si>
    <t>(1)410-209-9545</t>
  </si>
  <si>
    <t>LHS</t>
  </si>
  <si>
    <t>sylvia_cousey@cousey.org</t>
  </si>
  <si>
    <t>Sylvia</t>
  </si>
  <si>
    <t>260-273-3725</t>
  </si>
  <si>
    <t>Cousey</t>
  </si>
  <si>
    <t>1260-382-4869</t>
  </si>
  <si>
    <t>szagen@aol.com</t>
  </si>
  <si>
    <t>287 Youngstown Warren Rd</t>
  </si>
  <si>
    <t>Hampstead</t>
  </si>
  <si>
    <t>MD</t>
  </si>
  <si>
    <t>(1)609-524-3586</t>
  </si>
  <si>
    <t>1609-234-8376</t>
  </si>
  <si>
    <t>thurman.manno@yahoo.com</t>
  </si>
  <si>
    <t>(1)201-672-1553</t>
  </si>
  <si>
    <t>tsmith@aol.com</t>
  </si>
  <si>
    <t>Acura</t>
  </si>
  <si>
    <t>Sherita</t>
  </si>
  <si>
    <t>210-812-9597</t>
  </si>
  <si>
    <t>Saras</t>
  </si>
  <si>
    <t>Integra</t>
  </si>
  <si>
    <t>1210-300-6244</t>
  </si>
  <si>
    <t>Black History Resource Center</t>
  </si>
  <si>
    <t>valentine_gillian@gmail.com</t>
  </si>
  <si>
    <t>8 Us Highway 22</t>
  </si>
  <si>
    <t>Colorado Springs</t>
  </si>
  <si>
    <t>(1)773-446-5569</t>
  </si>
  <si>
    <t>773-352-3437</t>
  </si>
  <si>
    <t>viva.toelkes@gmail.com</t>
  </si>
  <si>
    <t>(1)303-776-7548</t>
  </si>
  <si>
    <t>303-845-5408</t>
  </si>
  <si>
    <t>vkiel@hotmail.com</t>
  </si>
  <si>
    <t>My</t>
  </si>
  <si>
    <t>Rantanen</t>
  </si>
  <si>
    <t>1312-303-5453</t>
  </si>
  <si>
    <t>1312-512-2338</t>
  </si>
  <si>
    <t>8 Mcarthur Ln</t>
  </si>
  <si>
    <t>vklimek@klimek.org</t>
  </si>
  <si>
    <t>Richboro</t>
  </si>
  <si>
    <t>PA</t>
  </si>
  <si>
    <t>1208-862-5339</t>
  </si>
  <si>
    <t>208-737-8439</t>
  </si>
  <si>
    <t>vmondella@mondella.com</t>
  </si>
  <si>
    <t>Mirage</t>
  </si>
  <si>
    <t>(1)847-353-2156</t>
  </si>
  <si>
    <t>wacuff@gmail.com</t>
  </si>
  <si>
    <t>Scarlet</t>
  </si>
  <si>
    <t>Cartan</t>
  </si>
  <si>
    <t>1907-870-5536</t>
  </si>
  <si>
    <t>9390 S Howell Ave</t>
  </si>
  <si>
    <t>1907-914-9482</t>
  </si>
  <si>
    <t>Albany</t>
  </si>
  <si>
    <t>wilda@cox.net</t>
  </si>
  <si>
    <t>1972-303-9197</t>
  </si>
  <si>
    <t>willard@hotmail.com</t>
  </si>
  <si>
    <t>1541-548-8197</t>
  </si>
  <si>
    <t>1541-993-2611</t>
  </si>
  <si>
    <t>V70</t>
  </si>
  <si>
    <t>youlanda@aol.com</t>
  </si>
  <si>
    <t>Bradley Nameplate Corp</t>
  </si>
  <si>
    <t>87 Imperial Ct #79</t>
  </si>
  <si>
    <t>Fargo</t>
  </si>
  <si>
    <t>ND</t>
  </si>
  <si>
    <t>Cadillac</t>
  </si>
  <si>
    <t>Bresler Eitel Framg Gllry Ltd</t>
  </si>
  <si>
    <t>4646 Kaahumanu St</t>
  </si>
  <si>
    <t>Escalade</t>
  </si>
  <si>
    <t>Hackensack</t>
  </si>
  <si>
    <t>Mitzie</t>
  </si>
  <si>
    <t>Hudnall</t>
  </si>
  <si>
    <t>Cangro Transmission Co</t>
  </si>
  <si>
    <t>17 Jersey Ave</t>
  </si>
  <si>
    <t>Englewood</t>
  </si>
  <si>
    <t>Sienna</t>
  </si>
  <si>
    <t>Carriage House Cllsn Rpr Inc</t>
  </si>
  <si>
    <t>35 E Main St #43</t>
  </si>
  <si>
    <t>Elk Grove Village</t>
  </si>
  <si>
    <t>Jesusa</t>
  </si>
  <si>
    <t>Shin</t>
  </si>
  <si>
    <t>Accord</t>
  </si>
  <si>
    <t>2239 Shawnee Mission Pky</t>
  </si>
  <si>
    <t>Cascade Realty Advisors Inc</t>
  </si>
  <si>
    <t>366 South Dr</t>
  </si>
  <si>
    <t>Las Cruces</t>
  </si>
  <si>
    <t>NM</t>
  </si>
  <si>
    <t>Impala</t>
  </si>
  <si>
    <t>Deandrea</t>
  </si>
  <si>
    <t>Hughey</t>
  </si>
  <si>
    <t>Century 21 Krall Real Estate</t>
  </si>
  <si>
    <t>33 Lewis Rd #46</t>
  </si>
  <si>
    <t>Burlington</t>
  </si>
  <si>
    <t>NC</t>
  </si>
  <si>
    <t>Carrera Cabrio</t>
  </si>
  <si>
    <t>Simona</t>
  </si>
  <si>
    <t>Morasca</t>
  </si>
  <si>
    <t>3 Mcauley Dr</t>
  </si>
  <si>
    <t>Ashland</t>
  </si>
  <si>
    <t>OH</t>
  </si>
  <si>
    <t>Cassi</t>
  </si>
  <si>
    <t>Wildfong</t>
  </si>
  <si>
    <t>26849 Jefferson Hwy</t>
  </si>
  <si>
    <t>Rolling Meadows</t>
  </si>
  <si>
    <t>Audi</t>
  </si>
  <si>
    <t>A8</t>
  </si>
  <si>
    <t>Comfort Inn</t>
  </si>
  <si>
    <t>55892 Jacksonville Rd</t>
  </si>
  <si>
    <t>Owings Mills</t>
  </si>
  <si>
    <t>Lettie</t>
  </si>
  <si>
    <t>Isenhower</t>
  </si>
  <si>
    <t>Golf</t>
  </si>
  <si>
    <t>70 W Main St</t>
  </si>
  <si>
    <t>Beachwood</t>
  </si>
  <si>
    <t>Courtyard By Marriott</t>
  </si>
  <si>
    <t>80 Pittsford Victor Rd #9</t>
  </si>
  <si>
    <t>Cleveland</t>
  </si>
  <si>
    <t>CLK Coupe</t>
  </si>
  <si>
    <t>Virgie</t>
  </si>
  <si>
    <t>Kiel</t>
  </si>
  <si>
    <t>76598 Rd  I 95 #1</t>
  </si>
  <si>
    <t>Nissan</t>
  </si>
  <si>
    <t>Pathfinder</t>
  </si>
  <si>
    <t>Kate</t>
  </si>
  <si>
    <t>Keneipp</t>
  </si>
  <si>
    <t>33 N Michigan Ave</t>
  </si>
  <si>
    <t>Green Bay</t>
  </si>
  <si>
    <t>WI</t>
  </si>
  <si>
    <t>Del Charro Apartments</t>
  </si>
  <si>
    <t>617 Nw 36th Ave</t>
  </si>
  <si>
    <t>Brook Park</t>
  </si>
  <si>
    <t>CL</t>
  </si>
  <si>
    <t>Devora</t>
  </si>
  <si>
    <t>Perez</t>
  </si>
  <si>
    <t>Desco Equipment Corp</t>
  </si>
  <si>
    <t>72868 Blackington Ave</t>
  </si>
  <si>
    <t>Oakland</t>
  </si>
  <si>
    <t>Jetta</t>
  </si>
  <si>
    <t>Di Cristina J &amp; Son</t>
  </si>
  <si>
    <t>170 Wyoming Ave</t>
  </si>
  <si>
    <t>Burnsville</t>
  </si>
  <si>
    <t>MN</t>
  </si>
  <si>
    <t>Lonna</t>
  </si>
  <si>
    <t>Diestel</t>
  </si>
  <si>
    <t>1482 College Ave</t>
  </si>
  <si>
    <t>Fayetteville</t>
  </si>
  <si>
    <t>Catera</t>
  </si>
  <si>
    <t>Janey</t>
  </si>
  <si>
    <t>Gabisi</t>
  </si>
  <si>
    <t>40 Cambridge Ave</t>
  </si>
  <si>
    <t>Intrigue</t>
  </si>
  <si>
    <t>Madison</t>
  </si>
  <si>
    <t>Eagle Software Inc</t>
  </si>
  <si>
    <t>5384 Southwyck Blvd</t>
  </si>
  <si>
    <t>Douglasville</t>
  </si>
  <si>
    <t>Cirrus</t>
  </si>
  <si>
    <t>Dominque</t>
  </si>
  <si>
    <t>Dickerson</t>
  </si>
  <si>
    <t>E A I Electronic Assocs Inc</t>
  </si>
  <si>
    <t>69 Marquette Ave</t>
  </si>
  <si>
    <t>Hayward</t>
  </si>
  <si>
    <t>Lashaunda</t>
  </si>
  <si>
    <t>Lizama</t>
  </si>
  <si>
    <t>A4</t>
  </si>
  <si>
    <t>Earnhardt Printing</t>
  </si>
  <si>
    <t>3387 Ryan Dr</t>
  </si>
  <si>
    <t>Hanover</t>
  </si>
  <si>
    <t>Kati</t>
  </si>
  <si>
    <t>Rulapaugh</t>
  </si>
  <si>
    <t>Eder Assocs Consltng Engrs Pc</t>
  </si>
  <si>
    <t>6980 Dorsett Rd</t>
  </si>
  <si>
    <t>Abilene</t>
  </si>
  <si>
    <t>KS</t>
  </si>
  <si>
    <t>Windstar</t>
  </si>
  <si>
    <t>Edison Supply &amp; Equipment Co</t>
  </si>
  <si>
    <t>9 Vanowen St</t>
  </si>
  <si>
    <t>College Station</t>
  </si>
  <si>
    <t>TX</t>
  </si>
  <si>
    <t>RL</t>
  </si>
  <si>
    <t>Edward S Katz</t>
  </si>
  <si>
    <t>501 N 19th Ave</t>
  </si>
  <si>
    <t>Cherry Hill</t>
  </si>
  <si>
    <t>Caprice</t>
  </si>
  <si>
    <t>Suell</t>
  </si>
  <si>
    <t>90177 N 55th Ave</t>
  </si>
  <si>
    <t>Nashville</t>
  </si>
  <si>
    <t>Lexus</t>
  </si>
  <si>
    <t>LX470</t>
  </si>
  <si>
    <t>Marti</t>
  </si>
  <si>
    <t>Maybury</t>
  </si>
  <si>
    <t>4 Warehouse Point Rd #7</t>
  </si>
  <si>
    <t>Chicago</t>
  </si>
  <si>
    <t>S40</t>
  </si>
  <si>
    <t>Fbs Business Finance</t>
  </si>
  <si>
    <t>775 W 17th St</t>
  </si>
  <si>
    <t>San Antonio</t>
  </si>
  <si>
    <t>Lenna</t>
  </si>
  <si>
    <t>Paprocki</t>
  </si>
  <si>
    <t>Feltz Printing Service</t>
  </si>
  <si>
    <t>639 Main St</t>
  </si>
  <si>
    <t>Anchorage</t>
  </si>
  <si>
    <t>AK</t>
  </si>
  <si>
    <t>Bonneville</t>
  </si>
  <si>
    <t>Lai</t>
  </si>
  <si>
    <t>Gato</t>
  </si>
  <si>
    <t>37 Alabama Ave</t>
  </si>
  <si>
    <t>Evanston</t>
  </si>
  <si>
    <t>Subaru</t>
  </si>
  <si>
    <t>Maryann</t>
  </si>
  <si>
    <t>Forester</t>
  </si>
  <si>
    <t>Royster</t>
  </si>
  <si>
    <t>74 S Westgate St</t>
  </si>
  <si>
    <t>Fresno Tile Center Inc</t>
  </si>
  <si>
    <t>21575 S Apple Creek Rd</t>
  </si>
  <si>
    <t>Omaha</t>
  </si>
  <si>
    <t>NE</t>
  </si>
  <si>
    <t>Carrera Coupe</t>
  </si>
  <si>
    <t>Garrison Ind</t>
  </si>
  <si>
    <t>31 Douglas Blvd #950</t>
  </si>
  <si>
    <t>Clovis</t>
  </si>
  <si>
    <t>C70</t>
  </si>
  <si>
    <t>Kaitlyn</t>
  </si>
  <si>
    <t>Ogg</t>
  </si>
  <si>
    <t>2 S Biscayne Blvd</t>
  </si>
  <si>
    <t>Baltimore</t>
  </si>
  <si>
    <t>General Foam Corporation</t>
  </si>
  <si>
    <t>596 Santa Maria Ave #7913</t>
  </si>
  <si>
    <t>Mesquite</t>
  </si>
  <si>
    <t>Junita</t>
  </si>
  <si>
    <t>Stoltzman</t>
  </si>
  <si>
    <t>Cougar</t>
  </si>
  <si>
    <t>Geonex Martel Inc</t>
  </si>
  <si>
    <t>94 W Dodge Rd</t>
  </si>
  <si>
    <t>Carson City</t>
  </si>
  <si>
    <t>NV</t>
  </si>
  <si>
    <t>George Jessop Carter Jewelers</t>
  </si>
  <si>
    <t>2664 Lewis Rd</t>
  </si>
  <si>
    <t>Littleton</t>
  </si>
  <si>
    <t>Continental</t>
  </si>
  <si>
    <t>Goeman Wood Products Inc</t>
  </si>
  <si>
    <t>8139 I Hwy 10 #92</t>
  </si>
  <si>
    <t>New Bedford</t>
  </si>
  <si>
    <t>MA</t>
  </si>
  <si>
    <t>Durango</t>
  </si>
  <si>
    <t>Marguerita</t>
  </si>
  <si>
    <t>Hiatt</t>
  </si>
  <si>
    <t>82 N Highway 67</t>
  </si>
  <si>
    <t>Oakley</t>
  </si>
  <si>
    <t>H A C Farm Lines Co Optv Assoc</t>
  </si>
  <si>
    <t>2845 Boulder Crescent St</t>
  </si>
  <si>
    <t>Corvette</t>
  </si>
  <si>
    <t>Harris Corporation</t>
  </si>
  <si>
    <t>4 Iwaena St</t>
  </si>
  <si>
    <t>Focus</t>
  </si>
  <si>
    <t>Kirk</t>
  </si>
  <si>
    <t>Herritt</t>
  </si>
  <si>
    <t>88 15th Ave Ne</t>
  </si>
  <si>
    <t>Vestal</t>
  </si>
  <si>
    <t>Penney</t>
  </si>
  <si>
    <t>Cavalier</t>
  </si>
  <si>
    <t>Weight</t>
  </si>
  <si>
    <t>Hawaiian King Hotel</t>
  </si>
  <si>
    <t>18 Fountain St</t>
  </si>
  <si>
    <t>Lorean</t>
  </si>
  <si>
    <t>Martabano</t>
  </si>
  <si>
    <t>85092 Southern Blvd</t>
  </si>
  <si>
    <t>Prowler</t>
  </si>
  <si>
    <t>H Lee Leonard Attorney At Law</t>
  </si>
  <si>
    <t>20932 Hedley St</t>
  </si>
  <si>
    <t>Concord</t>
  </si>
  <si>
    <t>Diamante</t>
  </si>
  <si>
    <t>Honey Bee Breeding Genetics &amp;</t>
  </si>
  <si>
    <t>9387 Charcot Ave</t>
  </si>
  <si>
    <t>Absecon</t>
  </si>
  <si>
    <t>Icn Pharmaceuticals Inc</t>
  </si>
  <si>
    <t>3338 A Lockport Pl #6</t>
  </si>
  <si>
    <t>Margate City</t>
  </si>
  <si>
    <t>DeVille</t>
  </si>
  <si>
    <t>Willard</t>
  </si>
  <si>
    <t>Kolmetz</t>
  </si>
  <si>
    <t>618 W Yakima Ave</t>
  </si>
  <si>
    <t>Irving</t>
  </si>
  <si>
    <t>SLK230</t>
  </si>
  <si>
    <t>Brittni</t>
  </si>
  <si>
    <t>Gillaspie</t>
  </si>
  <si>
    <t>Inner Label</t>
  </si>
  <si>
    <t>67 Rv Cent</t>
  </si>
  <si>
    <t>Boise</t>
  </si>
  <si>
    <t>Cutlass</t>
  </si>
  <si>
    <t>ID</t>
  </si>
  <si>
    <t>Italian Express Franchise Corp</t>
  </si>
  <si>
    <t>5 Green Pond Rd #4</t>
  </si>
  <si>
    <t>Southampton</t>
  </si>
  <si>
    <t>Crown Victoria</t>
  </si>
  <si>
    <t>Jackson Millwork Co</t>
  </si>
  <si>
    <t>39 Franklin Ave</t>
  </si>
  <si>
    <t>Richland</t>
  </si>
  <si>
    <t>WA</t>
  </si>
  <si>
    <t>Jets Cybernetics</t>
  </si>
  <si>
    <t>F-Series</t>
  </si>
  <si>
    <t>99586 Main St</t>
  </si>
  <si>
    <t>Dallas</t>
  </si>
  <si>
    <t>77 Massillon Rd #822</t>
  </si>
  <si>
    <t>Satellite Beach</t>
  </si>
  <si>
    <t>FL</t>
  </si>
  <si>
    <t>Lumina</t>
  </si>
  <si>
    <t>Jaclyn</t>
  </si>
  <si>
    <t>Bachman</t>
  </si>
  <si>
    <t>Judah Caster &amp; Wheel Co</t>
  </si>
  <si>
    <t>721 Interstate 45 S</t>
  </si>
  <si>
    <t>Frontier</t>
  </si>
  <si>
    <t>Juno Chefs Incorporated</t>
  </si>
  <si>
    <t>2 Se 3rd Ave</t>
  </si>
  <si>
    <t>Saturn</t>
  </si>
  <si>
    <t>SW</t>
  </si>
  <si>
    <t>Juvenile &amp; Adult Super</t>
  </si>
  <si>
    <t>97 Airport Loop Dr</t>
  </si>
  <si>
    <t>Jacksonville</t>
  </si>
  <si>
    <t>Freeman</t>
  </si>
  <si>
    <t>Gochal</t>
  </si>
  <si>
    <t>383 Gunderman Rd #197</t>
  </si>
  <si>
    <t>Coatesville</t>
  </si>
  <si>
    <t>Cabrio</t>
  </si>
  <si>
    <t>Kris</t>
  </si>
  <si>
    <t>Marrier</t>
  </si>
  <si>
    <t>228 Runamuck Pl #2808</t>
  </si>
  <si>
    <t>Buick</t>
  </si>
  <si>
    <t>Park Avenue</t>
  </si>
  <si>
    <t>Knights Inn</t>
  </si>
  <si>
    <t>762 S Main St</t>
  </si>
  <si>
    <t>LW</t>
  </si>
  <si>
    <t>45 E Liberty St</t>
  </si>
  <si>
    <t>Ridgefield Park</t>
  </si>
  <si>
    <t>Monte Carlo</t>
  </si>
  <si>
    <t>Dorthy</t>
  </si>
  <si>
    <t>Hidvegi</t>
  </si>
  <si>
    <t>Kwik Kopy Printing</t>
  </si>
  <si>
    <t>9635 S Main St</t>
  </si>
  <si>
    <t>Jaguar</t>
  </si>
  <si>
    <t>S-Type</t>
  </si>
  <si>
    <t>Kwikprint</t>
  </si>
  <si>
    <t>9 Front St</t>
  </si>
  <si>
    <t>Washington</t>
  </si>
  <si>
    <t>DC</t>
  </si>
  <si>
    <t>Eclipse</t>
  </si>
  <si>
    <t>Larkfield Photo</t>
  </si>
  <si>
    <t>944 Gaither Dr</t>
  </si>
  <si>
    <t>Strongsville</t>
  </si>
  <si>
    <t>Contour</t>
  </si>
  <si>
    <t>Linguistic Systems Inc</t>
  </si>
  <si>
    <t>506 S Hacienda Dr</t>
  </si>
  <si>
    <t>Atlantic City</t>
  </si>
  <si>
    <t>Odyssey</t>
  </si>
  <si>
    <t>Izetta</t>
  </si>
  <si>
    <t>Dewar</t>
  </si>
  <si>
    <t>2 W Scyene Rd #3</t>
  </si>
  <si>
    <t>Little Sheet Metal Co</t>
  </si>
  <si>
    <t>Stratus</t>
  </si>
  <si>
    <t>75684 S Withlapopka Dr #32</t>
  </si>
  <si>
    <t>Local Office</t>
  </si>
  <si>
    <t>4 Carroll St</t>
  </si>
  <si>
    <t>North Attleboro</t>
  </si>
  <si>
    <t>M-Class</t>
  </si>
  <si>
    <t>Serina</t>
  </si>
  <si>
    <t>Zagen</t>
  </si>
  <si>
    <t>Mark Ii Imports Inc</t>
  </si>
  <si>
    <t>7 S Beverly Dr</t>
  </si>
  <si>
    <t>Fort Wayne</t>
  </si>
  <si>
    <t>SL</t>
  </si>
  <si>
    <t>IN</t>
  </si>
  <si>
    <t>Mark Iv Press Ltd</t>
  </si>
  <si>
    <t>4284 Dorigo Ln</t>
  </si>
  <si>
    <t>300M</t>
  </si>
  <si>
    <t>3000GT</t>
  </si>
  <si>
    <t>Lucina</t>
  </si>
  <si>
    <t>Lary</t>
  </si>
  <si>
    <t>8597 W National Ave</t>
  </si>
  <si>
    <t>Cocoa</t>
  </si>
  <si>
    <t>Villager</t>
  </si>
  <si>
    <t>Mayar Silk Inc</t>
  </si>
  <si>
    <t>99 5th Ave #33</t>
  </si>
  <si>
    <t>Trion</t>
  </si>
  <si>
    <t>Eldorado</t>
  </si>
  <si>
    <t>Felicidad</t>
  </si>
  <si>
    <t>Poullion</t>
  </si>
  <si>
    <t>9939 N 14th St</t>
  </si>
  <si>
    <t>Riverton</t>
  </si>
  <si>
    <t>Celica</t>
  </si>
  <si>
    <t>Kristel</t>
  </si>
  <si>
    <t>4Runner</t>
  </si>
  <si>
    <t>Ehmann</t>
  </si>
  <si>
    <t>92899 Kalakaua Ave</t>
  </si>
  <si>
    <t>El Paso</t>
  </si>
  <si>
    <t>S80</t>
  </si>
  <si>
    <t>Mcglynn Bliss Pc</t>
  </si>
  <si>
    <t>8116 Mount Vernon Ave</t>
  </si>
  <si>
    <t>Bucyrus</t>
  </si>
  <si>
    <t>Town &amp; Country</t>
  </si>
  <si>
    <t>Wilda</t>
  </si>
  <si>
    <t>Giguere</t>
  </si>
  <si>
    <t>1747 Calle Amanecer #2</t>
  </si>
  <si>
    <t>Mountaineer</t>
  </si>
  <si>
    <t>Megibow &amp; Edwards</t>
  </si>
  <si>
    <t>4 Bloomfield Ave</t>
  </si>
  <si>
    <t>Town car</t>
  </si>
  <si>
    <t>RAV4</t>
  </si>
  <si>
    <t>Morlong Associates</t>
  </si>
  <si>
    <t>7 Eads St</t>
  </si>
  <si>
    <t>Alero</t>
  </si>
  <si>
    <t>Jennifer</t>
  </si>
  <si>
    <t>Fallick</t>
  </si>
  <si>
    <t>44 58th St</t>
  </si>
  <si>
    <t>Wheeling</t>
  </si>
  <si>
    <t>Avenger</t>
  </si>
  <si>
    <t>Beetle</t>
  </si>
  <si>
    <t>Nelson Hawaiian Ltd</t>
  </si>
  <si>
    <t>6 Gilson St</t>
  </si>
  <si>
    <t>Bronx</t>
  </si>
  <si>
    <t>Audra</t>
  </si>
  <si>
    <t>Kohnert</t>
  </si>
  <si>
    <t>134 Lewis Rd</t>
  </si>
  <si>
    <t>SL-Class</t>
  </si>
  <si>
    <t>Josphine</t>
  </si>
  <si>
    <t>Villanueva</t>
  </si>
  <si>
    <t>New York Life John Thune</t>
  </si>
  <si>
    <t>92 Main St</t>
  </si>
  <si>
    <t>CL500</t>
  </si>
  <si>
    <t>Ninas Indian Grs &amp; Videos</t>
  </si>
  <si>
    <t>627 Walford Ave</t>
  </si>
  <si>
    <t>Regal</t>
  </si>
  <si>
    <t>Refugia</t>
  </si>
  <si>
    <t>Jacobos</t>
  </si>
  <si>
    <t>North Central Fl Sfty Cncl</t>
  </si>
  <si>
    <t>2184 Worth St</t>
  </si>
  <si>
    <t>Caravan</t>
  </si>
  <si>
    <t>Louisa</t>
  </si>
  <si>
    <t>Cronauer</t>
  </si>
  <si>
    <t>Pacific Grove Museum Ntrl Hist</t>
  </si>
  <si>
    <t>524 Louisiana Ave Nw</t>
  </si>
  <si>
    <t>San Leandro</t>
  </si>
  <si>
    <t>Sable</t>
  </si>
  <si>
    <t>Casie</t>
  </si>
  <si>
    <t>Good</t>
  </si>
  <si>
    <t>5221 Bear Valley Rd</t>
  </si>
  <si>
    <t>328i</t>
  </si>
  <si>
    <t>Payne Blades &amp; Wellborn Pa</t>
  </si>
  <si>
    <t>98 University Dr</t>
  </si>
  <si>
    <t>San Ramon</t>
  </si>
  <si>
    <t>Sebring Conv.</t>
  </si>
  <si>
    <t>Plantation Restaurant</t>
  </si>
  <si>
    <t>8977 Connecticut Ave Nw #3</t>
  </si>
  <si>
    <t>Niles</t>
  </si>
  <si>
    <t>MI</t>
  </si>
  <si>
    <t>Wrangler</t>
  </si>
  <si>
    <t>Portland Central Thriftlodge</t>
  </si>
  <si>
    <t>9 Tower Ave</t>
  </si>
  <si>
    <t>KY</t>
  </si>
  <si>
    <t>Camaro</t>
  </si>
  <si>
    <t>Porto Cayo At Hawks Cay</t>
  </si>
  <si>
    <t>4 Webbs Chapel Rd</t>
  </si>
  <si>
    <t>Boulder</t>
  </si>
  <si>
    <t>Price Business Services</t>
  </si>
  <si>
    <t>7 West Ave #1</t>
  </si>
  <si>
    <t>Palatine</t>
  </si>
  <si>
    <t>Print Doctor</t>
  </si>
  <si>
    <t>72 Beechwood Ter</t>
  </si>
  <si>
    <t>Cherokee</t>
  </si>
  <si>
    <t>Donette</t>
  </si>
  <si>
    <t>Foller</t>
  </si>
  <si>
    <t>Printing Dimensions</t>
  </si>
  <si>
    <t>34 Center St</t>
  </si>
  <si>
    <t>Infiniti</t>
  </si>
  <si>
    <t>Hamilton</t>
  </si>
  <si>
    <t>I30</t>
  </si>
  <si>
    <t>Printing Images Corp</t>
  </si>
  <si>
    <t>36 Enterprise St Se</t>
  </si>
  <si>
    <t>Land Cruiser</t>
  </si>
  <si>
    <t>Vallie</t>
  </si>
  <si>
    <t>Mondella</t>
  </si>
  <si>
    <t>Private Properties</t>
  </si>
  <si>
    <t>74 W College St</t>
  </si>
  <si>
    <t>Montero Sport</t>
  </si>
  <si>
    <t>Q A Service</t>
  </si>
  <si>
    <t>6 Kains Ave</t>
  </si>
  <si>
    <t>Reese Plastics</t>
  </si>
  <si>
    <t>Mustang</t>
  </si>
  <si>
    <t>2 W Beverly Blvd</t>
  </si>
  <si>
    <t>Harrisburg</t>
  </si>
  <si>
    <t>Hillary</t>
  </si>
  <si>
    <t>Skulski</t>
  </si>
  <si>
    <t>323i</t>
  </si>
  <si>
    <t>Replica I</t>
  </si>
  <si>
    <t>9 Wales Rd Ne #914</t>
  </si>
  <si>
    <t>Homosassa</t>
  </si>
  <si>
    <t>Ilene</t>
  </si>
  <si>
    <t>Bravada</t>
  </si>
  <si>
    <t>Eroman</t>
  </si>
  <si>
    <t>2853 S Central Expy</t>
  </si>
  <si>
    <t>Glen Burnie</t>
  </si>
  <si>
    <t>TL</t>
  </si>
  <si>
    <t>Royal Pontiac Olds Inc</t>
  </si>
  <si>
    <t>9 Murfreesboro Rd</t>
  </si>
  <si>
    <t>Santa Cruz Community Internet</t>
  </si>
  <si>
    <t>63 Smith Ln #8343</t>
  </si>
  <si>
    <t>Moss</t>
  </si>
  <si>
    <t>Ram Pickup</t>
  </si>
  <si>
    <t>Valentin</t>
  </si>
  <si>
    <t>Klimek</t>
  </si>
  <si>
    <t>137 Pioneer Way</t>
  </si>
  <si>
    <t>Malibu</t>
  </si>
  <si>
    <t>Gail</t>
  </si>
  <si>
    <t>Kitty</t>
  </si>
  <si>
    <t>Service Supply Co Inc</t>
  </si>
  <si>
    <t>735 Crawford Dr</t>
  </si>
  <si>
    <t>Ram Van</t>
  </si>
  <si>
    <t>Fernanda</t>
  </si>
  <si>
    <t>Jillson</t>
  </si>
  <si>
    <t>60480 Old Us Highway 51</t>
  </si>
  <si>
    <t>Preston</t>
  </si>
  <si>
    <t>Seville</t>
  </si>
  <si>
    <t>Gayla</t>
  </si>
  <si>
    <t>Schnitzler</t>
  </si>
  <si>
    <t>Sigma Corp Of America</t>
  </si>
  <si>
    <t>38 Pleasant Hill Rd</t>
  </si>
  <si>
    <t>Montana</t>
  </si>
  <si>
    <t>Simonton Howe &amp; Schneider Pc</t>
  </si>
  <si>
    <t>89992 E 15th St</t>
  </si>
  <si>
    <t>Alliance</t>
  </si>
  <si>
    <t>LeSabre</t>
  </si>
  <si>
    <t>Smc Inc</t>
  </si>
  <si>
    <t>11279 Loytan St</t>
  </si>
  <si>
    <t>GS300</t>
  </si>
  <si>
    <t>Erick</t>
  </si>
  <si>
    <t>Nievas</t>
  </si>
  <si>
    <t>45 E Acacia Ct</t>
  </si>
  <si>
    <t>Sentra</t>
  </si>
  <si>
    <t>Spoor Behrins Campbell &amp; Young</t>
  </si>
  <si>
    <t>7061 N 2nd St</t>
  </si>
  <si>
    <t>S-Class</t>
  </si>
  <si>
    <t>Sport En Art</t>
  </si>
  <si>
    <t>6 S 33rd St</t>
  </si>
  <si>
    <t>Aston</t>
  </si>
  <si>
    <t>Dakota</t>
  </si>
  <si>
    <t>Carma</t>
  </si>
  <si>
    <t>Vanheusen</t>
  </si>
  <si>
    <t>Springfield Div Oh Edison Co</t>
  </si>
  <si>
    <t>68556 Central Hwy</t>
  </si>
  <si>
    <t>Century</t>
  </si>
  <si>
    <t>Alpha</t>
  </si>
  <si>
    <t>Palaia</t>
  </si>
  <si>
    <t>43496 Commercial Dr #29</t>
  </si>
  <si>
    <t>Mitsue</t>
  </si>
  <si>
    <t>Scipione</t>
  </si>
  <si>
    <t>Students In Free Entrprs Natl</t>
  </si>
  <si>
    <t>Montero</t>
  </si>
  <si>
    <t>77 222 Dr</t>
  </si>
  <si>
    <t>Oroville</t>
  </si>
  <si>
    <t>Super 8 Motel</t>
  </si>
  <si>
    <t>669 Packerland Dr #1438</t>
  </si>
  <si>
    <t>Prizm</t>
  </si>
  <si>
    <t>Switchcraft Inc</t>
  </si>
  <si>
    <t>4 Nw 12th St #3849</t>
  </si>
  <si>
    <t>Concorde</t>
  </si>
  <si>
    <t>Carlee</t>
  </si>
  <si>
    <t>Boulter</t>
  </si>
  <si>
    <t>8284 Hart St</t>
  </si>
  <si>
    <t>Altima</t>
  </si>
  <si>
    <t>Tri M Tool Inc</t>
  </si>
  <si>
    <t>2881 Lewis Rd</t>
  </si>
  <si>
    <t>Prineville</t>
  </si>
  <si>
    <t>OR</t>
  </si>
  <si>
    <t>S70</t>
  </si>
  <si>
    <t>Tyee Productions Inc</t>
  </si>
  <si>
    <t>3958 S Dupont Hwy #7</t>
  </si>
  <si>
    <t>Ramsey</t>
  </si>
  <si>
    <t>Mystique</t>
  </si>
  <si>
    <t>Nickolas</t>
  </si>
  <si>
    <t>Juvera</t>
  </si>
  <si>
    <t>United Oil Co Inc</t>
  </si>
  <si>
    <t>177 S Rider Trl #52</t>
  </si>
  <si>
    <t>Crystal River</t>
  </si>
  <si>
    <t>Passat</t>
  </si>
  <si>
    <t>Vicon Corporation</t>
  </si>
  <si>
    <t>71 San Mateo Ave</t>
  </si>
  <si>
    <t>Wayne</t>
  </si>
  <si>
    <t>RX300</t>
  </si>
  <si>
    <t>Vico Products Mfg Co</t>
  </si>
  <si>
    <t>5 W 7th St</t>
  </si>
  <si>
    <t>Parkville</t>
  </si>
  <si>
    <t>Warner Electric Brk &amp; Cltch Co</t>
  </si>
  <si>
    <t>13 Gunnison St</t>
  </si>
  <si>
    <t>Plano</t>
  </si>
  <si>
    <t>Grand Prix</t>
  </si>
  <si>
    <t>Womack &amp; Galich</t>
  </si>
  <si>
    <t>2215 Prosperity Dr</t>
  </si>
  <si>
    <t>Lyndhurst</t>
  </si>
  <si>
    <t>A6</t>
  </si>
  <si>
    <t>Arthur</t>
  </si>
  <si>
    <t>Farrow</t>
  </si>
  <si>
    <t>28 S 7th St #2824</t>
  </si>
  <si>
    <t>LS400</t>
  </si>
  <si>
    <t>Passport</t>
  </si>
  <si>
    <t>LS</t>
  </si>
  <si>
    <t>Expedition</t>
  </si>
  <si>
    <t>Ram Wagon</t>
  </si>
  <si>
    <t>Outback</t>
  </si>
  <si>
    <t>Viper</t>
  </si>
  <si>
    <t>Tacoma</t>
  </si>
  <si>
    <t>SLK</t>
  </si>
  <si>
    <t>SC</t>
  </si>
  <si>
    <t>Xterra</t>
  </si>
  <si>
    <t>Sonata</t>
  </si>
  <si>
    <t>Accent</t>
  </si>
  <si>
    <t>ES300</t>
  </si>
  <si>
    <t>Escort</t>
  </si>
  <si>
    <t>Ranger</t>
  </si>
  <si>
    <t>Quest</t>
  </si>
  <si>
    <t>Voyager</t>
  </si>
  <si>
    <t>Explorer</t>
  </si>
  <si>
    <t>Maxima</t>
  </si>
  <si>
    <t>Sunfire</t>
  </si>
  <si>
    <t>Camry</t>
  </si>
  <si>
    <t>GS400</t>
  </si>
  <si>
    <t>CR-V</t>
  </si>
  <si>
    <t>CleanedPhone1</t>
  </si>
  <si>
    <t>CleanedPhone2</t>
  </si>
  <si>
    <t>Vehcile-1 Comp Name</t>
  </si>
  <si>
    <t>Vehcile-2 Comp Name</t>
  </si>
  <si>
    <t>Row Labels</t>
  </si>
  <si>
    <t>Grand Total</t>
  </si>
  <si>
    <t>Active</t>
  </si>
  <si>
    <t>InActive</t>
  </si>
  <si>
    <t>No Service Record</t>
  </si>
  <si>
    <t>Count of custid</t>
  </si>
  <si>
    <t>Average of Horsepower</t>
  </si>
  <si>
    <t>Average of Price_in_thousands</t>
  </si>
  <si>
    <t>Average of Fuel_efficiency</t>
  </si>
  <si>
    <t>CustomersCount</t>
  </si>
  <si>
    <t>Count  of Customers in each State</t>
  </si>
  <si>
    <t>MileageBrackets</t>
  </si>
  <si>
    <t>100K-200K</t>
  </si>
  <si>
    <t>50K - 100K</t>
  </si>
  <si>
    <t>Customer has No Car</t>
  </si>
  <si>
    <t>Mileage&gt;200k</t>
  </si>
  <si>
    <t>CustomersCountBasedOnMileage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</si>
</sst>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0"/>
      <color rgb="FF000000"/>
      <name val="Arial"/>
      <scheme val="minor"/>
    </font>
    <font>
      <sz val="9"/>
      <color theme="1"/>
      <name val="Arial"/>
      <scheme val="minor"/>
    </font>
    <font>
      <b/>
      <sz val="9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4" fontId="1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164" fontId="4" fillId="0" borderId="0" xfId="0" applyNumberFormat="1" applyFont="1"/>
    <xf numFmtId="0" fontId="7" fillId="0" borderId="0" xfId="0" applyFont="1"/>
    <xf numFmtId="0" fontId="8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1" fillId="0" borderId="0" xfId="0" applyNumberFormat="1" applyFont="1" applyAlignment="1">
      <alignment horizontal="right"/>
    </xf>
    <xf numFmtId="1" fontId="1" fillId="2" borderId="0" xfId="0" applyNumberFormat="1" applyFont="1" applyFill="1"/>
    <xf numFmtId="1" fontId="0" fillId="0" borderId="0" xfId="0" applyNumberFormat="1"/>
    <xf numFmtId="1" fontId="7" fillId="0" borderId="0" xfId="0" applyNumberFormat="1" applyFont="1"/>
    <xf numFmtId="14" fontId="1" fillId="2" borderId="0" xfId="0" applyNumberFormat="1" applyFont="1" applyFill="1"/>
    <xf numFmtId="14" fontId="2" fillId="0" borderId="0" xfId="0" applyNumberFormat="1" applyFont="1"/>
    <xf numFmtId="14" fontId="0" fillId="0" borderId="0" xfId="0" applyNumberFormat="1"/>
    <xf numFmtId="14" fontId="1" fillId="0" borderId="0" xfId="0" applyNumberFormat="1" applyFont="1" applyAlignment="1">
      <alignment horizontal="left"/>
    </xf>
    <xf numFmtId="14" fontId="1" fillId="2" borderId="0" xfId="0" applyNumberFormat="1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Exercise - Ahsan Ali.xlsx]Pivots!PivotTable3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34925">
            <a:solidFill>
              <a:schemeClr val="bg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4925"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34925"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3"/>
          </a:solidFill>
          <a:ln w="34925">
            <a:solidFill>
              <a:schemeClr val="bg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4F-4AC0-A198-1CC89D503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4F-4AC0-A198-1CC89D503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4F-4AC0-A198-1CC89D503D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Pivots!$A$2:$A$5</c:f>
              <c:strCache>
                <c:ptCount val="3"/>
                <c:pt idx="0">
                  <c:v>InActive</c:v>
                </c:pt>
                <c:pt idx="1">
                  <c:v>Active</c:v>
                </c:pt>
                <c:pt idx="2">
                  <c:v>No Service Record</c:v>
                </c:pt>
              </c:strCache>
            </c:strRef>
          </c:cat>
          <c:val>
            <c:numRef>
              <c:f>Pivots!$B$2:$B$5</c:f>
              <c:numCache>
                <c:formatCode>General</c:formatCode>
                <c:ptCount val="3"/>
                <c:pt idx="0">
                  <c:v>91</c:v>
                </c:pt>
                <c:pt idx="1">
                  <c:v>31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4F-4AC0-A198-1CC89D503D2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Exercise - Ahsan Ali.xlsx]Pivots!PivotTable5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customer</a:t>
            </a:r>
            <a:r>
              <a:rPr lang="en-US" baseline="0"/>
              <a:t> count</a:t>
            </a:r>
            <a:endParaRPr lang="en-US"/>
          </a:p>
        </c:rich>
      </c:tx>
      <c:layout>
        <c:manualLayout>
          <c:xMode val="edge"/>
          <c:yMode val="edge"/>
          <c:x val="0.2089790026246719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Pivots!$A$16:$A$26</c:f>
              <c:strCache>
                <c:ptCount val="10"/>
                <c:pt idx="0">
                  <c:v>NJ</c:v>
                </c:pt>
                <c:pt idx="1">
                  <c:v>IL</c:v>
                </c:pt>
                <c:pt idx="2">
                  <c:v>TX</c:v>
                </c:pt>
                <c:pt idx="3">
                  <c:v>CA</c:v>
                </c:pt>
                <c:pt idx="4">
                  <c:v>MD</c:v>
                </c:pt>
                <c:pt idx="5">
                  <c:v>CO</c:v>
                </c:pt>
                <c:pt idx="6">
                  <c:v>OH</c:v>
                </c:pt>
                <c:pt idx="7">
                  <c:v>TN</c:v>
                </c:pt>
                <c:pt idx="8">
                  <c:v>FL</c:v>
                </c:pt>
                <c:pt idx="9">
                  <c:v>PA</c:v>
                </c:pt>
              </c:strCache>
            </c:strRef>
          </c:cat>
          <c:val>
            <c:numRef>
              <c:f>Pivots!$B$16:$B$26</c:f>
              <c:numCache>
                <c:formatCode>General</c:formatCode>
                <c:ptCount val="10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D-4334-B9F2-C32C1C4E09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6199968"/>
        <c:axId val="904598960"/>
      </c:barChart>
      <c:catAx>
        <c:axId val="956199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04598960"/>
        <c:crosses val="autoZero"/>
        <c:auto val="1"/>
        <c:lblAlgn val="ctr"/>
        <c:lblOffset val="100"/>
        <c:noMultiLvlLbl val="0"/>
      </c:catAx>
      <c:valAx>
        <c:axId val="90459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5619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Exercise - Ahsan Ali.xlsx]Pivots!PivotTable7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Pivots!$H$1</c:f>
              <c:strCache>
                <c:ptCount val="1"/>
                <c:pt idx="0">
                  <c:v>Average of Horsepower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Pivots!$G$2:$G$32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Pivots!$H$2:$H$32</c:f>
              <c:numCache>
                <c:formatCode>General</c:formatCode>
                <c:ptCount val="30"/>
                <c:pt idx="0">
                  <c:v>200</c:v>
                </c:pt>
                <c:pt idx="1">
                  <c:v>220</c:v>
                </c:pt>
                <c:pt idx="2">
                  <c:v>185.33333333333334</c:v>
                </c:pt>
                <c:pt idx="3">
                  <c:v>206.25</c:v>
                </c:pt>
                <c:pt idx="4">
                  <c:v>256</c:v>
                </c:pt>
                <c:pt idx="5">
                  <c:v>171.11111111111111</c:v>
                </c:pt>
                <c:pt idx="6">
                  <c:v>194.83333333333334</c:v>
                </c:pt>
                <c:pt idx="7">
                  <c:v>199.54545454545453</c:v>
                </c:pt>
                <c:pt idx="8">
                  <c:v>170.09090909090909</c:v>
                </c:pt>
                <c:pt idx="9">
                  <c:v>160.4</c:v>
                </c:pt>
                <c:pt idx="10">
                  <c:v>126.66666666666667</c:v>
                </c:pt>
                <c:pt idx="11">
                  <c:v>227</c:v>
                </c:pt>
                <c:pt idx="12">
                  <c:v>240</c:v>
                </c:pt>
                <c:pt idx="13">
                  <c:v>168.33333333333334</c:v>
                </c:pt>
                <c:pt idx="14">
                  <c:v>245.83333333333334</c:v>
                </c:pt>
                <c:pt idx="15">
                  <c:v>263.33333333333331</c:v>
                </c:pt>
                <c:pt idx="16">
                  <c:v>232.22222222222223</c:v>
                </c:pt>
                <c:pt idx="17">
                  <c:v>163.83333333333334</c:v>
                </c:pt>
                <c:pt idx="18">
                  <c:v>165.14285714285714</c:v>
                </c:pt>
                <c:pt idx="19">
                  <c:v>169</c:v>
                </c:pt>
                <c:pt idx="20">
                  <c:v>190</c:v>
                </c:pt>
                <c:pt idx="21">
                  <c:v>166.75</c:v>
                </c:pt>
                <c:pt idx="22">
                  <c:v>185</c:v>
                </c:pt>
                <c:pt idx="23">
                  <c:v>272.33333333333331</c:v>
                </c:pt>
                <c:pt idx="24">
                  <c:v>177.5</c:v>
                </c:pt>
                <c:pt idx="25">
                  <c:v>119.6</c:v>
                </c:pt>
                <c:pt idx="26">
                  <c:v>165</c:v>
                </c:pt>
                <c:pt idx="27">
                  <c:v>160.66666666666666</c:v>
                </c:pt>
                <c:pt idx="28">
                  <c:v>120.83333333333333</c:v>
                </c:pt>
                <c:pt idx="29">
                  <c:v>182.16666666666666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F-4B51-8529-D9503B944901}"/>
            </c:ext>
          </c:extLst>
        </c:ser>
        <c:ser>
          <c:idx val="1"/>
          <c:order val="1"/>
          <c:tx>
            <c:strRef>
              <c:f>Pivots!$I$1</c:f>
              <c:strCache>
                <c:ptCount val="1"/>
                <c:pt idx="0">
                  <c:v>Average of Price_in_thousands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Pivots!$G$2:$G$32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Pivots!$I$2:$I$32</c:f>
              <c:numCache>
                <c:formatCode>General</c:formatCode>
                <c:ptCount val="30"/>
                <c:pt idx="0">
                  <c:v>30.633333333333336</c:v>
                </c:pt>
                <c:pt idx="1">
                  <c:v>39.979999999999997</c:v>
                </c:pt>
                <c:pt idx="2">
                  <c:v>33.096666666666664</c:v>
                </c:pt>
                <c:pt idx="3">
                  <c:v>26.78125</c:v>
                </c:pt>
                <c:pt idx="4">
                  <c:v>40.253999999999998</c:v>
                </c:pt>
                <c:pt idx="5">
                  <c:v>20.02277777777778</c:v>
                </c:pt>
                <c:pt idx="6">
                  <c:v>23.430833333333336</c:v>
                </c:pt>
                <c:pt idx="7">
                  <c:v>24.213636363636361</c:v>
                </c:pt>
                <c:pt idx="8">
                  <c:v>21.047272727272727</c:v>
                </c:pt>
                <c:pt idx="9">
                  <c:v>20.277000000000001</c:v>
                </c:pt>
                <c:pt idx="10">
                  <c:v>12.165666666666667</c:v>
                </c:pt>
                <c:pt idx="11">
                  <c:v>29.465</c:v>
                </c:pt>
                <c:pt idx="12">
                  <c:v>42.8</c:v>
                </c:pt>
                <c:pt idx="13">
                  <c:v>20.991666666666671</c:v>
                </c:pt>
                <c:pt idx="14">
                  <c:v>44.055</c:v>
                </c:pt>
                <c:pt idx="15">
                  <c:v>41.69</c:v>
                </c:pt>
                <c:pt idx="16">
                  <c:v>52.916666666666657</c:v>
                </c:pt>
                <c:pt idx="17">
                  <c:v>20.748333333333331</c:v>
                </c:pt>
                <c:pt idx="18">
                  <c:v>22.167428571428569</c:v>
                </c:pt>
                <c:pt idx="19">
                  <c:v>22.360714285714288</c:v>
                </c:pt>
                <c:pt idx="20">
                  <c:v>25.622833333333329</c:v>
                </c:pt>
                <c:pt idx="21">
                  <c:v>22.642499999999998</c:v>
                </c:pt>
                <c:pt idx="22">
                  <c:v>22.949166666666667</c:v>
                </c:pt>
                <c:pt idx="23">
                  <c:v>62.473333333333336</c:v>
                </c:pt>
                <c:pt idx="24">
                  <c:v>29.61</c:v>
                </c:pt>
                <c:pt idx="25">
                  <c:v>14.271000000000001</c:v>
                </c:pt>
                <c:pt idx="26">
                  <c:v>21.395</c:v>
                </c:pt>
                <c:pt idx="27">
                  <c:v>21.98288888888889</c:v>
                </c:pt>
                <c:pt idx="28">
                  <c:v>17.698333333333334</c:v>
                </c:pt>
                <c:pt idx="29">
                  <c:v>30.933333333333334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F-4B51-8529-D9503B944901}"/>
            </c:ext>
          </c:extLst>
        </c:ser>
        <c:ser>
          <c:idx val="2"/>
          <c:order val="2"/>
          <c:tx>
            <c:strRef>
              <c:f>Pivots!$J$1</c:f>
              <c:strCache>
                <c:ptCount val="1"/>
                <c:pt idx="0">
                  <c:v>Average of Fuel_efficiency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Pivots!$G$2:$G$32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Pivots!$J$2:$J$32</c:f>
              <c:numCache>
                <c:formatCode>General</c:formatCode>
                <c:ptCount val="30"/>
                <c:pt idx="0">
                  <c:v>25.25</c:v>
                </c:pt>
                <c:pt idx="1">
                  <c:v>23.333333333333332</c:v>
                </c:pt>
                <c:pt idx="2">
                  <c:v>25</c:v>
                </c:pt>
                <c:pt idx="3">
                  <c:v>24.25</c:v>
                </c:pt>
                <c:pt idx="4">
                  <c:v>20.6</c:v>
                </c:pt>
                <c:pt idx="5">
                  <c:v>28.444444444444443</c:v>
                </c:pt>
                <c:pt idx="6">
                  <c:v>24.5</c:v>
                </c:pt>
                <c:pt idx="7">
                  <c:v>20.100000000000001</c:v>
                </c:pt>
                <c:pt idx="8">
                  <c:v>22.818181818181817</c:v>
                </c:pt>
                <c:pt idx="9">
                  <c:v>25</c:v>
                </c:pt>
                <c:pt idx="10">
                  <c:v>27.666666666666668</c:v>
                </c:pt>
                <c:pt idx="11">
                  <c:v>25</c:v>
                </c:pt>
                <c:pt idx="12">
                  <c:v>21</c:v>
                </c:pt>
                <c:pt idx="13">
                  <c:v>18.666666666666668</c:v>
                </c:pt>
                <c:pt idx="14">
                  <c:v>20.833333333333332</c:v>
                </c:pt>
                <c:pt idx="15">
                  <c:v>19.333333333333332</c:v>
                </c:pt>
                <c:pt idx="16">
                  <c:v>23.444444444444443</c:v>
                </c:pt>
                <c:pt idx="17">
                  <c:v>23.666666666666668</c:v>
                </c:pt>
                <c:pt idx="18">
                  <c:v>22.857142857142858</c:v>
                </c:pt>
                <c:pt idx="19">
                  <c:v>22.285714285714285</c:v>
                </c:pt>
                <c:pt idx="20">
                  <c:v>23</c:v>
                </c:pt>
                <c:pt idx="21">
                  <c:v>25.25</c:v>
                </c:pt>
                <c:pt idx="22">
                  <c:v>24.833333333333332</c:v>
                </c:pt>
                <c:pt idx="23">
                  <c:v>22</c:v>
                </c:pt>
                <c:pt idx="24">
                  <c:v>23</c:v>
                </c:pt>
                <c:pt idx="25">
                  <c:v>30.4</c:v>
                </c:pt>
                <c:pt idx="26">
                  <c:v>24.5</c:v>
                </c:pt>
                <c:pt idx="27">
                  <c:v>25.222222222222221</c:v>
                </c:pt>
                <c:pt idx="28">
                  <c:v>26.166666666666668</c:v>
                </c:pt>
                <c:pt idx="29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F-4B51-8529-D9503B944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540528"/>
        <c:axId val="904561520"/>
      </c:lineChart>
      <c:catAx>
        <c:axId val="140454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04561520"/>
        <c:crosses val="autoZero"/>
        <c:auto val="1"/>
        <c:lblAlgn val="ctr"/>
        <c:lblOffset val="100"/>
        <c:noMultiLvlLbl val="0"/>
      </c:catAx>
      <c:valAx>
        <c:axId val="9045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0454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Exercise - Ahsan Ali.xlsx]Pivots!PivotTable4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vehicles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Pivots!$B$8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Pivots!$A$9:$A$12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0</c:v>
                </c:pt>
              </c:strCache>
            </c:strRef>
          </c:cat>
          <c:val>
            <c:numRef>
              <c:f>Pivots!$B$9:$B$12</c:f>
              <c:numCache>
                <c:formatCode>General</c:formatCode>
                <c:ptCount val="3"/>
                <c:pt idx="0">
                  <c:v>87</c:v>
                </c:pt>
                <c:pt idx="1">
                  <c:v>35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0-4313-85B1-785829F86B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04547488"/>
        <c:axId val="904609520"/>
        <c:axId val="0"/>
      </c:bar3DChart>
      <c:catAx>
        <c:axId val="14045474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04609520"/>
        <c:crosses val="autoZero"/>
        <c:auto val="1"/>
        <c:lblAlgn val="ctr"/>
        <c:lblOffset val="100"/>
        <c:noMultiLvlLbl val="0"/>
      </c:catAx>
      <c:valAx>
        <c:axId val="9046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045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Exercise - Ahsan Ali.xlsx]Pivots!PivotTable12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2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90216984234727"/>
          <c:y val="0.14680990943615743"/>
          <c:w val="0.86300516061194499"/>
          <c:h val="0.6877529252547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Pivots!$A$30:$A$34</c:f>
              <c:strCache>
                <c:ptCount val="4"/>
                <c:pt idx="0">
                  <c:v>Mileage&gt;200k</c:v>
                </c:pt>
                <c:pt idx="1">
                  <c:v>Customer has No Car</c:v>
                </c:pt>
                <c:pt idx="2">
                  <c:v>50K - 100K</c:v>
                </c:pt>
                <c:pt idx="3">
                  <c:v>100K-200K</c:v>
                </c:pt>
              </c:strCache>
            </c:strRef>
          </c:cat>
          <c:val>
            <c:numRef>
              <c:f>Pivots!$B$30:$B$34</c:f>
              <c:numCache>
                <c:formatCode>General</c:formatCode>
                <c:ptCount val="4"/>
                <c:pt idx="0">
                  <c:v>69</c:v>
                </c:pt>
                <c:pt idx="1">
                  <c:v>13</c:v>
                </c:pt>
                <c:pt idx="2">
                  <c:v>25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6-4127-8A10-2D8665737C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8750448"/>
        <c:axId val="904615760"/>
      </c:barChart>
      <c:catAx>
        <c:axId val="69875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04615760"/>
        <c:crosses val="autoZero"/>
        <c:auto val="1"/>
        <c:lblAlgn val="ctr"/>
        <c:lblOffset val="100"/>
        <c:noMultiLvlLbl val="0"/>
      </c:catAx>
      <c:valAx>
        <c:axId val="90461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98750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52388</xdr:rowOff>
    </xdr:from>
    <xdr:to>
      <xdr:col>7</xdr:col>
      <xdr:colOff>228600</xdr:colOff>
      <xdr:row>19</xdr:row>
      <xdr:rowOff>42863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8E544F-F27C-427C-A4C9-80DE4AD18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233362</xdr:colOff>
      <xdr:row>2</xdr:row>
      <xdr:rowOff>28575</xdr:rowOff>
    </xdr:from>
    <xdr:to>
      <xdr:col>16</xdr:col>
      <xdr:colOff>271462</xdr:colOff>
      <xdr:row>19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C3B21C-D187-4C6E-96C1-5B8A3910E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185739</xdr:colOff>
      <xdr:row>20</xdr:row>
      <xdr:rowOff>1</xdr:rowOff>
    </xdr:from>
    <xdr:to>
      <xdr:col>16</xdr:col>
      <xdr:colOff>223839</xdr:colOff>
      <xdr:row>50</xdr:row>
      <xdr:rowOff>38101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62858E-799E-4A30-8C6A-895EEF9FF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209550</xdr:colOff>
      <xdr:row>2</xdr:row>
      <xdr:rowOff>28575</xdr:rowOff>
    </xdr:from>
    <xdr:to>
      <xdr:col>25</xdr:col>
      <xdr:colOff>247650</xdr:colOff>
      <xdr:row>19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B68D75B-6E3F-4323-8AD0-F48FC2781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514349</xdr:colOff>
      <xdr:row>20</xdr:row>
      <xdr:rowOff>9525</xdr:rowOff>
    </xdr:from>
    <xdr:to>
      <xdr:col>25</xdr:col>
      <xdr:colOff>252412</xdr:colOff>
      <xdr:row>49</xdr:row>
      <xdr:rowOff>147638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D032124-6C69-405B-A2C6-7BA59C7BA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Abbasi, Ahsan" refreshedDate="46288.530579398146" createdVersion="8" refreshedVersion="8" minRefreshableVersion="3" recordCount="157" xr:uid="{1B42889D-40CA-4FD2-A6BF-3902ED28C13D}">
  <cacheSource type="worksheet">
    <worksheetSource name="tblVehicles"/>
  </cacheSource>
  <cacheFields count="17">
    <cacheField name="custid" numFmtId="0">
      <sharedItems containsSemiMixedTypes="0" containsString="0" containsNumber="1" containsInteger="1" minValue="1004" maxValue="1496"/>
    </cacheField>
    <cacheField name="vehiclenum" numFmtId="0">
      <sharedItems containsSemiMixedTypes="0" containsString="0" containsNumber="1" containsInteger="1" minValue="1" maxValue="2"/>
    </cacheField>
    <cacheField name="Year" numFmtId="0">
      <sharedItems containsSemiMixedTypes="0" containsString="0" containsNumber="1" containsInteger="1" minValue="2000" maxValue="2022" count="23">
        <n v="2016"/>
        <n v="2008"/>
        <n v="2020"/>
        <n v="2007"/>
        <n v="2002"/>
        <n v="2017"/>
        <n v="2011"/>
        <n v="2014"/>
        <n v="2000"/>
        <n v="2012"/>
        <n v="2010"/>
        <n v="2022"/>
        <n v="2003"/>
        <n v="2001"/>
        <n v="2021"/>
        <n v="2004"/>
        <n v="2019"/>
        <n v="2009"/>
        <n v="2006"/>
        <n v="2015"/>
        <n v="2013"/>
        <n v="2005"/>
        <n v="2018"/>
      </sharedItems>
    </cacheField>
    <cacheField name="Manufacturer" numFmtId="0">
      <sharedItems count="30">
        <s v="Lincoln"/>
        <s v="Oldsmobile"/>
        <s v="Dodge"/>
        <s v="Volvo"/>
        <s v="Volkswagen"/>
        <s v="Chevrolet"/>
        <s v="Hyundai"/>
        <s v="Saab"/>
        <s v="Toyota"/>
        <s v="Jeep"/>
        <s v="Ford"/>
        <s v="Pontiac"/>
        <s v="Mitsubishi"/>
        <s v="Mercedes-B"/>
        <s v="Mercury"/>
        <s v="Plymouth"/>
        <s v="Honda"/>
        <s v="BMW"/>
        <s v="Chrysler"/>
        <s v="Porsche"/>
        <s v="Acura"/>
        <s v="Cadillac"/>
        <s v="Audi"/>
        <s v="Nissan"/>
        <s v="Lexus"/>
        <s v="Subaru"/>
        <s v="Saturn"/>
        <s v="Buick"/>
        <s v="Jaguar"/>
        <s v="Infiniti"/>
      </sharedItems>
    </cacheField>
    <cacheField name="Model" numFmtId="0">
      <sharedItems containsMixedTypes="1" containsNumber="1" containsInteger="1" minValue="44807" maxValue="44809" count="156">
        <s v="Navigator"/>
        <s v="Silhouette"/>
        <s v="Intrepid"/>
        <s v="V40"/>
        <s v="GTI"/>
        <s v="Aurora"/>
        <s v="Metro"/>
        <s v="Elantra"/>
        <n v="44807"/>
        <s v="Corolla"/>
        <s v="Grand Cherokee"/>
        <n v="44809"/>
        <s v="Taurus"/>
        <s v="Grand Am"/>
        <s v="Neon"/>
        <s v="Galant"/>
        <s v="C-Class"/>
        <s v="Grand Marquis"/>
        <s v="Breeze"/>
        <s v="E-Class"/>
        <s v="Civic"/>
        <s v="Firebird"/>
        <s v="528i"/>
        <s v="Avalon"/>
        <s v="Sebring Coupe"/>
        <s v="Boxter"/>
        <s v="LHS"/>
        <s v="Integra"/>
        <s v="Mirage"/>
        <s v="V70"/>
        <s v="Escalade"/>
        <s v="Sienna"/>
        <s v="Accord"/>
        <s v="Impala"/>
        <s v="Carrera Cabrio"/>
        <s v="A8"/>
        <s v="Golf"/>
        <s v="CLK Coupe"/>
        <s v="Pathfinder"/>
        <s v="CL"/>
        <s v="Jetta"/>
        <s v="Catera"/>
        <s v="Intrigue"/>
        <s v="Cirrus"/>
        <s v="A4"/>
        <s v="Windstar"/>
        <s v="RL"/>
        <s v="LX470"/>
        <s v="S40"/>
        <s v="Bonneville"/>
        <s v="Forester"/>
        <s v="Carrera Coupe"/>
        <s v="C70"/>
        <s v="Cougar"/>
        <s v="Continental"/>
        <s v="Durango"/>
        <s v="Corvette"/>
        <s v="Focus"/>
        <s v="Cavalier"/>
        <s v="Prowler"/>
        <s v="Diamante"/>
        <s v="DeVille"/>
        <s v="SLK230"/>
        <s v="Cutlass"/>
        <s v="Crown Victoria"/>
        <s v="F-Series"/>
        <s v="Lumina"/>
        <s v="Frontier"/>
        <s v="SW"/>
        <s v="Cabrio"/>
        <s v="Park Avenue"/>
        <s v="LW"/>
        <s v="Monte Carlo"/>
        <s v="S-Type"/>
        <s v="Eclipse"/>
        <s v="Contour"/>
        <s v="Odyssey"/>
        <s v="Stratus"/>
        <s v="M-Class"/>
        <s v="SL"/>
        <s v="300M"/>
        <s v="3000GT"/>
        <s v="Villager"/>
        <s v="Eldorado"/>
        <s v="Celica"/>
        <s v="4Runner"/>
        <s v="S80"/>
        <s v="Town &amp; Country"/>
        <s v="Mountaineer"/>
        <s v="Town car"/>
        <s v="RAV4"/>
        <s v="Alero"/>
        <s v="Avenger"/>
        <s v="Beetle"/>
        <s v="SL-Class"/>
        <s v="CL500"/>
        <s v="Regal"/>
        <s v="Caravan"/>
        <s v="Sable"/>
        <s v="328i"/>
        <s v="Sebring Conv."/>
        <s v="Wrangler"/>
        <s v="Camaro"/>
        <s v="Cherokee"/>
        <s v="I30"/>
        <s v="Land Cruiser"/>
        <s v="Montero Sport"/>
        <s v="Mustang"/>
        <s v="323i"/>
        <s v="Bravada"/>
        <s v="TL"/>
        <s v="Ram Pickup"/>
        <s v="Malibu"/>
        <s v="Ram Van"/>
        <s v="Seville"/>
        <s v="Montana"/>
        <s v="LeSabre"/>
        <s v="GS300"/>
        <s v="Sentra"/>
        <s v="S-Class"/>
        <s v="Dakota"/>
        <s v="Century"/>
        <s v="Montero"/>
        <s v="Prizm"/>
        <s v="Concorde"/>
        <s v="Altima"/>
        <s v="S70"/>
        <s v="Mystique"/>
        <s v="Passat"/>
        <s v="RX300"/>
        <s v="Grand Prix"/>
        <s v="A6"/>
        <s v="LS400"/>
        <s v="Passport"/>
        <s v="LS"/>
        <s v="Expedition"/>
        <s v="Ram Wagon"/>
        <s v="Outback"/>
        <s v="Viper"/>
        <s v="Tacoma"/>
        <s v="SLK"/>
        <s v="SC"/>
        <s v="Xterra"/>
        <s v="Sonata"/>
        <s v="Accent"/>
        <s v="ES300"/>
        <s v="Escort"/>
        <s v="Ranger"/>
        <s v="Quest"/>
        <s v="Voyager"/>
        <s v="Explorer"/>
        <s v="Maxima"/>
        <s v="Sunfire"/>
        <s v="Camry"/>
        <s v="GS400"/>
        <s v="CR-V"/>
      </sharedItems>
    </cacheField>
    <cacheField name="Price_in_thousands" numFmtId="0">
      <sharedItems containsString="0" containsBlank="1" containsNumber="1" minValue="9.2349999999999994" maxValue="85.5"/>
    </cacheField>
    <cacheField name="Engine_size" numFmtId="0">
      <sharedItems containsString="0" containsBlank="1" containsNumber="1" minValue="1" maxValue="8"/>
    </cacheField>
    <cacheField name="Horsepower" numFmtId="0">
      <sharedItems containsString="0" containsBlank="1" containsNumber="1" containsInteger="1" minValue="55" maxValue="450"/>
    </cacheField>
    <cacheField name="Wheelbase" numFmtId="0">
      <sharedItems containsString="0" containsBlank="1" containsNumber="1" minValue="92.6" maxValue="138.69999999999999"/>
    </cacheField>
    <cacheField name="Width" numFmtId="0">
      <sharedItems containsString="0" containsBlank="1" containsNumber="1" minValue="62.6" maxValue="79.900000000000006"/>
    </cacheField>
    <cacheField name="Length" numFmtId="0">
      <sharedItems containsString="0" containsBlank="1" containsNumber="1" minValue="149.4" maxValue="224.5"/>
    </cacheField>
    <cacheField name="Curb_weight" numFmtId="0">
      <sharedItems containsString="0" containsBlank="1" containsNumber="1" minValue="1.895" maxValue="5.5720000000000001"/>
    </cacheField>
    <cacheField name="Fuel_capacity" numFmtId="0">
      <sharedItems containsString="0" containsBlank="1" containsNumber="1" minValue="10.3" maxValue="32"/>
    </cacheField>
    <cacheField name="Fuel_efficiency" numFmtId="0">
      <sharedItems containsString="0" containsBlank="1" containsNumber="1" containsInteger="1" minValue="15" maxValue="45"/>
    </cacheField>
    <cacheField name="Latest_Service" numFmtId="14">
      <sharedItems containsSemiMixedTypes="0" containsNonDate="0" containsDate="1" containsString="0" minDate="2005-05-31T00:00:00" maxDate="2025-12-13T00:00:00"/>
    </cacheField>
    <cacheField name="Power_perf_factor" numFmtId="0">
      <sharedItems containsString="0" containsBlank="1" containsNumber="1" minValue="23.276272330000001" maxValue="188.14432300000001"/>
    </cacheField>
    <cacheField name="mileage" numFmtId="0">
      <sharedItems containsSemiMixedTypes="0" containsString="0" containsNumber="1" containsInteger="1" minValue="49336" maxValue="2988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 Abbasi, Ahsan" refreshedDate="46288.680406250001" createdVersion="8" refreshedVersion="8" minRefreshableVersion="3" recordCount="135" xr:uid="{BA6B81F8-5548-4FD7-AC81-6FAB7CDA5196}">
  <cacheSource type="worksheet">
    <worksheetSource name="tblCustomers"/>
  </cacheSource>
  <cacheFields count="25">
    <cacheField name="custId" numFmtId="1">
      <sharedItems containsSemiMixedTypes="0" containsString="0" containsNumber="1" containsInteger="1" minValue="1004" maxValue="1498"/>
    </cacheField>
    <cacheField name="first_name" numFmtId="0">
      <sharedItems containsBlank="1"/>
    </cacheField>
    <cacheField name="last_name" numFmtId="0">
      <sharedItems containsBlank="1"/>
    </cacheField>
    <cacheField name="company_name" numFmtId="0">
      <sharedItems containsBlank="1"/>
    </cacheField>
    <cacheField name="address" numFmtId="0">
      <sharedItems/>
    </cacheField>
    <cacheField name="city" numFmtId="0">
      <sharedItems/>
    </cacheField>
    <cacheField name="state" numFmtId="0">
      <sharedItems count="30">
        <s v="MO"/>
        <s v="IL"/>
        <s v="NY"/>
        <s v="NJ"/>
        <s v="CA"/>
        <s v="CO"/>
        <s v="GA"/>
        <s v="TN"/>
        <s v="MD"/>
        <s v="PA"/>
        <s v="ND"/>
        <s v="NM"/>
        <s v="NC"/>
        <s v="OH"/>
        <s v="WI"/>
        <s v="MN"/>
        <s v="KS"/>
        <s v="TX"/>
        <s v="AK"/>
        <s v="NE"/>
        <s v="NV"/>
        <s v="MA"/>
        <s v="ID"/>
        <s v="WA"/>
        <s v="FL"/>
        <s v="DC"/>
        <s v="IN"/>
        <s v="MI"/>
        <s v="KY"/>
        <s v="OR"/>
      </sharedItems>
    </cacheField>
    <cacheField name="zip" numFmtId="0">
      <sharedItems containsSemiMixedTypes="0" containsString="0" containsNumber="1" containsInteger="1" minValue="2745" maxValue="99515"/>
    </cacheField>
    <cacheField name="full_name" numFmtId="0">
      <sharedItems/>
    </cacheField>
    <cacheField name="displayname" numFmtId="0">
      <sharedItems/>
    </cacheField>
    <cacheField name="street_num" numFmtId="0">
      <sharedItems/>
    </cacheField>
    <cacheField name="phone1" numFmtId="0">
      <sharedItems/>
    </cacheField>
    <cacheField name="phone2" numFmtId="0">
      <sharedItems/>
    </cacheField>
    <cacheField name="email" numFmtId="0">
      <sharedItems/>
    </cacheField>
    <cacheField name="number_of_vehicles" numFmtId="0">
      <sharedItems containsSemiMixedTypes="0" containsString="0" containsNumber="1" containsInteger="1" minValue="0" maxValue="2" count="3">
        <n v="0"/>
        <n v="1"/>
        <n v="2"/>
      </sharedItems>
    </cacheField>
    <cacheField name="vehicle1_name" numFmtId="0">
      <sharedItems containsMixedTypes="1" containsNumber="1" containsInteger="1" minValue="44809" maxValue="44809"/>
    </cacheField>
    <cacheField name="Vehcile-1 Comp Name" numFmtId="0">
      <sharedItems/>
    </cacheField>
    <cacheField name="vehicle1_last_service_date" numFmtId="14">
      <sharedItems containsDate="1" containsMixedTypes="1" minDate="2005-07-22T00:00:00" maxDate="2025-12-13T00:00:00"/>
    </cacheField>
    <cacheField name="vehicle2_name" numFmtId="0">
      <sharedItems containsMixedTypes="1" containsNumber="1" containsInteger="1" minValue="44807" maxValue="44807"/>
    </cacheField>
    <cacheField name="Vehcile-2 Comp Name" numFmtId="0">
      <sharedItems/>
    </cacheField>
    <cacheField name="vehicle2_last_service_date" numFmtId="14">
      <sharedItems containsDate="1" containsMixedTypes="1" minDate="2005-05-31T00:00:00" maxDate="2025-09-26T00:00:00"/>
    </cacheField>
    <cacheField name="total mileage" numFmtId="0">
      <sharedItems containsSemiMixedTypes="0" containsString="0" containsNumber="1" containsInteger="1" minValue="0" maxValue="558907"/>
    </cacheField>
    <cacheField name="customerlastservice" numFmtId="14">
      <sharedItems containsDate="1" containsMixedTypes="1" minDate="2005-10-20T00:00:00" maxDate="2025-12-13T00:00:00"/>
    </cacheField>
    <cacheField name="status" numFmtId="0">
      <sharedItems count="3">
        <s v="No Service Record"/>
        <s v="InActive"/>
        <s v="Active"/>
      </sharedItems>
    </cacheField>
    <cacheField name="MileageBrackets" numFmtId="0">
      <sharedItems count="4">
        <s v="Customer has No Car"/>
        <s v="100K-200K"/>
        <s v="Mileage&gt;200k"/>
        <s v="50K - 10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n v="1182"/>
    <n v="1"/>
    <x v="0"/>
    <x v="0"/>
    <x v="0"/>
    <n v="42.66"/>
    <n v="5.4"/>
    <n v="300"/>
    <n v="119"/>
    <n v="79.900000000000006"/>
    <n v="204.8"/>
    <n v="5.3929999999999998"/>
    <n v="30"/>
    <n v="15"/>
    <d v="2022-12-23T00:00:00"/>
    <n v="123.97204670000001"/>
    <n v="68385"/>
  </r>
  <r>
    <n v="1144"/>
    <n v="1"/>
    <x v="1"/>
    <x v="1"/>
    <x v="1"/>
    <n v="25.344999999999999"/>
    <n v="3.4"/>
    <n v="185"/>
    <n v="120"/>
    <n v="72.2"/>
    <n v="201.4"/>
    <n v="3.948"/>
    <n v="25"/>
    <n v="22"/>
    <d v="2015-06-25T00:00:00"/>
    <n v="76.096570420000006"/>
    <n v="251435"/>
  </r>
  <r>
    <n v="1180"/>
    <n v="1"/>
    <x v="2"/>
    <x v="2"/>
    <x v="2"/>
    <n v="22.504999999999999"/>
    <n v="2.7"/>
    <n v="202"/>
    <n v="113"/>
    <n v="74.7"/>
    <n v="203.7"/>
    <n v="3.4889999999999999"/>
    <n v="17"/>
    <m/>
    <d v="2023-06-02T00:00:00"/>
    <n v="80.831470170000003"/>
    <n v="247285"/>
  </r>
  <r>
    <n v="1064"/>
    <n v="1"/>
    <x v="3"/>
    <x v="3"/>
    <x v="3"/>
    <n v="24.4"/>
    <n v="1.9"/>
    <n v="160"/>
    <n v="100.5"/>
    <n v="67.599999999999994"/>
    <n v="176.6"/>
    <n v="3.0419999999999998"/>
    <n v="15.8"/>
    <n v="25"/>
    <d v="2015-09-21T00:00:00"/>
    <n v="66.498812299999997"/>
    <n v="81801"/>
  </r>
  <r>
    <n v="1032"/>
    <n v="1"/>
    <x v="4"/>
    <x v="4"/>
    <x v="4"/>
    <n v="17.5"/>
    <n v="2"/>
    <n v="115"/>
    <n v="98.9"/>
    <n v="68.3"/>
    <n v="163.30000000000001"/>
    <n v="2.762"/>
    <n v="14.6"/>
    <n v="26"/>
    <d v="2010-04-01T00:00:00"/>
    <n v="47.946841059999997"/>
    <n v="178102"/>
  </r>
  <r>
    <n v="1484"/>
    <n v="1"/>
    <x v="5"/>
    <x v="1"/>
    <x v="5"/>
    <n v="36.228999999999999"/>
    <n v="4"/>
    <n v="250"/>
    <n v="113.8"/>
    <n v="74.400000000000006"/>
    <n v="205.4"/>
    <n v="3.9670000000000001"/>
    <n v="18.5"/>
    <n v="22"/>
    <d v="2020-02-18T00:00:00"/>
    <n v="103.4416926"/>
    <n v="94315"/>
  </r>
  <r>
    <n v="1396"/>
    <n v="1"/>
    <x v="6"/>
    <x v="5"/>
    <x v="6"/>
    <n v="9.2349999999999994"/>
    <n v="1"/>
    <n v="55"/>
    <n v="93.1"/>
    <n v="62.6"/>
    <n v="149.4"/>
    <n v="1.895"/>
    <n v="10.3"/>
    <n v="45"/>
    <d v="2014-04-13T00:00:00"/>
    <n v="23.276272330000001"/>
    <n v="198865"/>
  </r>
  <r>
    <n v="1146"/>
    <n v="1"/>
    <x v="2"/>
    <x v="6"/>
    <x v="7"/>
    <n v="11.798999999999999"/>
    <n v="2"/>
    <n v="140"/>
    <n v="100.4"/>
    <n v="66.900000000000006"/>
    <n v="174"/>
    <n v="2.6259999999999999"/>
    <n v="14.5"/>
    <n v="27"/>
    <d v="2023-11-15T00:00:00"/>
    <n v="54.590045160000003"/>
    <n v="170933"/>
  </r>
  <r>
    <n v="1064"/>
    <n v="2"/>
    <x v="6"/>
    <x v="7"/>
    <x v="8"/>
    <n v="26.1"/>
    <n v="2"/>
    <n v="185"/>
    <n v="102.6"/>
    <n v="67.400000000000006"/>
    <n v="182.2"/>
    <n v="2.99"/>
    <n v="16.899999999999999"/>
    <n v="23"/>
    <d v="2014-06-12T00:00:00"/>
    <n v="76.02304771"/>
    <n v="273164"/>
  </r>
  <r>
    <n v="1435"/>
    <n v="1"/>
    <x v="7"/>
    <x v="8"/>
    <x v="9"/>
    <n v="13.108000000000001"/>
    <n v="1.8"/>
    <n v="120"/>
    <n v="97"/>
    <n v="66.7"/>
    <n v="174"/>
    <n v="2.42"/>
    <n v="13.2"/>
    <n v="33"/>
    <d v="2020-04-11T00:00:00"/>
    <n v="47.96897242"/>
    <n v="292400"/>
  </r>
  <r>
    <n v="1186"/>
    <n v="1"/>
    <x v="0"/>
    <x v="9"/>
    <x v="10"/>
    <n v="26.895"/>
    <n v="4"/>
    <n v="195"/>
    <n v="105.9"/>
    <n v="72.3"/>
    <n v="181.5"/>
    <n v="3.88"/>
    <n v="20.5"/>
    <n v="19"/>
    <d v="2022-12-10T00:00:00"/>
    <n v="80.387779120000005"/>
    <n v="126424"/>
  </r>
  <r>
    <n v="1198"/>
    <n v="1"/>
    <x v="8"/>
    <x v="7"/>
    <x v="11"/>
    <n v="33.119999999999997"/>
    <n v="2.2999999999999998"/>
    <n v="170"/>
    <n v="106.4"/>
    <n v="70.599999999999994"/>
    <n v="189.2"/>
    <n v="3.28"/>
    <n v="18.5"/>
    <n v="23"/>
    <d v="2005-11-09T00:00:00"/>
    <n v="73.503778190000006"/>
    <n v="207111"/>
  </r>
  <r>
    <n v="1124"/>
    <n v="1"/>
    <x v="9"/>
    <x v="10"/>
    <x v="12"/>
    <n v="17.885000000000002"/>
    <n v="3"/>
    <n v="155"/>
    <n v="108.5"/>
    <n v="73"/>
    <n v="197.6"/>
    <n v="3.3679999999999999"/>
    <n v="16"/>
    <n v="24"/>
    <d v="2020-12-20T00:00:00"/>
    <n v="62.503739500000002"/>
    <n v="143273"/>
  </r>
  <r>
    <n v="1132"/>
    <n v="1"/>
    <x v="10"/>
    <x v="11"/>
    <x v="13"/>
    <n v="19.72"/>
    <n v="3.4"/>
    <n v="175"/>
    <n v="107"/>
    <n v="70.400000000000006"/>
    <n v="186.3"/>
    <n v="3.0910000000000002"/>
    <n v="15.2"/>
    <n v="25"/>
    <d v="2014-11-26T00:00:00"/>
    <n v="70.389737260000004"/>
    <n v="239202"/>
  </r>
  <r>
    <n v="1407"/>
    <n v="1"/>
    <x v="11"/>
    <x v="2"/>
    <x v="14"/>
    <n v="12.64"/>
    <n v="2"/>
    <n v="132"/>
    <n v="105"/>
    <n v="74.400000000000006"/>
    <n v="174.4"/>
    <n v="2.5670000000000002"/>
    <n v="12.5"/>
    <n v="29"/>
    <d v="2025-12-12T00:00:00"/>
    <n v="52.084898750000001"/>
    <n v="243363"/>
  </r>
  <r>
    <n v="1263"/>
    <n v="1"/>
    <x v="11"/>
    <x v="12"/>
    <x v="15"/>
    <n v="17.356999999999999"/>
    <n v="2.4"/>
    <n v="145"/>
    <n v="103.7"/>
    <n v="68.5"/>
    <n v="187.8"/>
    <n v="2.9449999999999998"/>
    <n v="16.3"/>
    <n v="25"/>
    <d v="2025-01-29T00:00:00"/>
    <n v="58.606772919999997"/>
    <n v="106633"/>
  </r>
  <r>
    <n v="1041"/>
    <n v="1"/>
    <x v="12"/>
    <x v="13"/>
    <x v="16"/>
    <n v="31.75"/>
    <n v="2.2999999999999998"/>
    <n v="185"/>
    <n v="105.9"/>
    <n v="67.7"/>
    <n v="177.4"/>
    <n v="3.25"/>
    <n v="16.399999999999999"/>
    <n v="26"/>
    <d v="2006-04-24T00:00:00"/>
    <n v="78.280730879999993"/>
    <n v="150944"/>
  </r>
  <r>
    <n v="1079"/>
    <n v="1"/>
    <x v="12"/>
    <x v="14"/>
    <x v="17"/>
    <n v="22.605"/>
    <n v="4.5999999999999996"/>
    <n v="200"/>
    <n v="114.7"/>
    <n v="78.2"/>
    <n v="212"/>
    <n v="3.9580000000000002"/>
    <n v="19"/>
    <n v="21"/>
    <d v="2011-07-24T00:00:00"/>
    <n v="80.657696459999997"/>
    <n v="149967"/>
  </r>
  <r>
    <n v="1288"/>
    <n v="1"/>
    <x v="13"/>
    <x v="15"/>
    <x v="18"/>
    <n v="16.079999999999998"/>
    <n v="2"/>
    <n v="132"/>
    <n v="108"/>
    <n v="71"/>
    <n v="186.3"/>
    <n v="2.9420000000000002"/>
    <n v="16"/>
    <n v="27"/>
    <d v="2009-11-14T00:00:00"/>
    <n v="53.411897670000002"/>
    <n v="283459"/>
  </r>
  <r>
    <n v="1452"/>
    <n v="1"/>
    <x v="8"/>
    <x v="13"/>
    <x v="19"/>
    <n v="49.9"/>
    <n v="3.2"/>
    <n v="221"/>
    <n v="111.5"/>
    <n v="70.8"/>
    <n v="189.4"/>
    <n v="3.823"/>
    <n v="21.1"/>
    <n v="25"/>
    <d v="2008-07-12T00:00:00"/>
    <n v="98.249737499999995"/>
    <n v="246320"/>
  </r>
  <r>
    <n v="1244"/>
    <n v="1"/>
    <x v="14"/>
    <x v="16"/>
    <x v="20"/>
    <n v="12.885"/>
    <n v="1.6"/>
    <n v="106"/>
    <n v="103.2"/>
    <n v="67.099999999999994"/>
    <n v="175.1"/>
    <n v="2.339"/>
    <n v="11.9"/>
    <n v="32"/>
    <d v="2024-10-21T00:00:00"/>
    <n v="42.879097340000001"/>
    <n v="290118"/>
  </r>
  <r>
    <n v="1265"/>
    <n v="1"/>
    <x v="4"/>
    <x v="11"/>
    <x v="21"/>
    <n v="25.31"/>
    <n v="3.8"/>
    <n v="200"/>
    <n v="101.1"/>
    <n v="74.5"/>
    <n v="193.4"/>
    <n v="3.492"/>
    <n v="16.8"/>
    <n v="25"/>
    <d v="2009-06-16T00:00:00"/>
    <n v="81.492726160000004"/>
    <n v="233788"/>
  </r>
  <r>
    <n v="1102"/>
    <n v="1"/>
    <x v="11"/>
    <x v="17"/>
    <x v="22"/>
    <n v="38.9"/>
    <n v="2.8"/>
    <n v="193"/>
    <n v="111.4"/>
    <n v="70.900000000000006"/>
    <n v="188"/>
    <n v="3.472"/>
    <n v="18.5"/>
    <n v="25"/>
    <d v="2025-04-04T00:00:00"/>
    <n v="83.998723799999993"/>
    <n v="219410"/>
  </r>
  <r>
    <n v="1438"/>
    <n v="1"/>
    <x v="12"/>
    <x v="8"/>
    <x v="23"/>
    <n v="25.545000000000002"/>
    <n v="3"/>
    <n v="210"/>
    <n v="107.1"/>
    <n v="71.7"/>
    <n v="191.9"/>
    <n v="3.4169999999999998"/>
    <n v="18.5"/>
    <n v="26"/>
    <d v="2008-08-31T00:00:00"/>
    <n v="84.911898260000001"/>
    <n v="99036"/>
  </r>
  <r>
    <n v="1417"/>
    <n v="1"/>
    <x v="15"/>
    <x v="18"/>
    <x v="24"/>
    <n v="19.84"/>
    <n v="2.5"/>
    <n v="163"/>
    <n v="103.7"/>
    <n v="69.7"/>
    <n v="190.9"/>
    <n v="2.9670000000000001"/>
    <n v="15.9"/>
    <n v="24"/>
    <d v="2009-01-16T00:00:00"/>
    <n v="65.957183959999995"/>
    <n v="105039"/>
  </r>
  <r>
    <n v="1494"/>
    <n v="1"/>
    <x v="11"/>
    <x v="19"/>
    <x v="25"/>
    <n v="41.43"/>
    <n v="2.7"/>
    <n v="217"/>
    <n v="95.2"/>
    <n v="70.099999999999994"/>
    <n v="171"/>
    <n v="2.778"/>
    <n v="17"/>
    <n v="22"/>
    <d v="2025-02-19T00:00:00"/>
    <n v="93.437330700000004"/>
    <n v="202902"/>
  </r>
  <r>
    <n v="1077"/>
    <n v="1"/>
    <x v="16"/>
    <x v="18"/>
    <x v="26"/>
    <n v="28.34"/>
    <n v="3.5"/>
    <n v="253"/>
    <n v="113"/>
    <n v="74.400000000000006"/>
    <n v="207.7"/>
    <n v="3.5640000000000001"/>
    <n v="17"/>
    <n v="23"/>
    <d v="2024-05-08T00:00:00"/>
    <n v="101.3292807"/>
    <n v="288348"/>
  </r>
  <r>
    <n v="1496"/>
    <n v="1"/>
    <x v="12"/>
    <x v="20"/>
    <x v="27"/>
    <n v="21.5"/>
    <n v="1.8"/>
    <n v="140"/>
    <n v="101.2"/>
    <n v="67.3"/>
    <n v="172.4"/>
    <n v="2.6389999999999998"/>
    <n v="13.2"/>
    <n v="28"/>
    <d v="2008-02-02T00:00:00"/>
    <n v="58.280149520000002"/>
    <n v="199200"/>
  </r>
  <r>
    <n v="1447"/>
    <n v="1"/>
    <x v="7"/>
    <x v="12"/>
    <x v="28"/>
    <n v="13.987"/>
    <n v="1.8"/>
    <n v="113"/>
    <n v="98.4"/>
    <n v="66.5"/>
    <n v="173.6"/>
    <n v="2.25"/>
    <n v="13.2"/>
    <n v="30"/>
    <d v="2021-04-23T00:00:00"/>
    <n v="45.832180559999998"/>
    <n v="58653"/>
  </r>
  <r>
    <n v="1083"/>
    <n v="1"/>
    <x v="12"/>
    <x v="3"/>
    <x v="29"/>
    <n v="28.8"/>
    <n v="2.4"/>
    <n v="168"/>
    <n v="104.9"/>
    <n v="69.3"/>
    <n v="186.2"/>
    <n v="3.2589999999999999"/>
    <n v="17.899999999999999"/>
    <n v="25"/>
    <d v="2008-06-25T00:00:00"/>
    <n v="71.1559776"/>
    <n v="215076"/>
  </r>
  <r>
    <n v="1069"/>
    <n v="1"/>
    <x v="3"/>
    <x v="21"/>
    <x v="30"/>
    <n v="46.225000000000001"/>
    <n v="5.7"/>
    <n v="255"/>
    <n v="117.5"/>
    <n v="77"/>
    <n v="201.2"/>
    <n v="5.5720000000000001"/>
    <n v="30"/>
    <n v="15"/>
    <d v="2014-04-17T00:00:00"/>
    <n v="109.5091165"/>
    <n v="237505"/>
  </r>
  <r>
    <n v="1021"/>
    <n v="1"/>
    <x v="3"/>
    <x v="8"/>
    <x v="31"/>
    <n v="22.367999999999999"/>
    <n v="3"/>
    <n v="194"/>
    <n v="114.2"/>
    <n v="73.400000000000006"/>
    <n v="193.5"/>
    <n v="3.7589999999999999"/>
    <n v="20.9"/>
    <n v="22"/>
    <d v="2011-10-05T00:00:00"/>
    <n v="78.027219470000006"/>
    <n v="270626"/>
  </r>
  <r>
    <n v="1197"/>
    <n v="1"/>
    <x v="4"/>
    <x v="16"/>
    <x v="32"/>
    <n v="15.35"/>
    <n v="2.2999999999999998"/>
    <n v="135"/>
    <n v="106.9"/>
    <n v="70.3"/>
    <n v="188.8"/>
    <n v="2.9319999999999999"/>
    <n v="17.100000000000001"/>
    <n v="27"/>
    <d v="2007-05-20T00:00:00"/>
    <n v="54.269548290000003"/>
    <n v="237444"/>
  </r>
  <r>
    <n v="1116"/>
    <n v="1"/>
    <x v="7"/>
    <x v="5"/>
    <x v="33"/>
    <n v="18.89"/>
    <n v="3.4"/>
    <n v="180"/>
    <n v="110.5"/>
    <n v="73"/>
    <n v="200"/>
    <n v="3.3889999999999998"/>
    <n v="17"/>
    <n v="27"/>
    <d v="2017-06-18T00:00:00"/>
    <n v="71.838039440000003"/>
    <n v="82160"/>
  </r>
  <r>
    <n v="1119"/>
    <n v="1"/>
    <x v="9"/>
    <x v="19"/>
    <x v="34"/>
    <n v="74.97"/>
    <n v="3.4"/>
    <n v="300"/>
    <n v="92.6"/>
    <n v="69.5"/>
    <n v="174.5"/>
    <n v="3.0750000000000002"/>
    <n v="17"/>
    <n v="23"/>
    <d v="2018-07-11T00:00:00"/>
    <n v="135.91470960000001"/>
    <n v="253996"/>
  </r>
  <r>
    <n v="1084"/>
    <n v="1"/>
    <x v="4"/>
    <x v="22"/>
    <x v="35"/>
    <n v="62"/>
    <n v="4.2"/>
    <n v="310"/>
    <n v="113"/>
    <n v="74"/>
    <n v="198.2"/>
    <n v="3.9020000000000001"/>
    <n v="23.7"/>
    <n v="21"/>
    <d v="2009-02-27T00:00:00"/>
    <n v="134.65685819999999"/>
    <n v="295086"/>
  </r>
  <r>
    <n v="1422"/>
    <n v="1"/>
    <x v="3"/>
    <x v="4"/>
    <x v="36"/>
    <n v="14.9"/>
    <n v="2"/>
    <n v="115"/>
    <n v="98.9"/>
    <n v="68.3"/>
    <n v="163.30000000000001"/>
    <n v="2.7669999999999999"/>
    <n v="14.5"/>
    <n v="26"/>
    <d v="2010-01-24T00:00:00"/>
    <n v="46.943876760000002"/>
    <n v="108083"/>
  </r>
  <r>
    <n v="1314"/>
    <n v="1"/>
    <x v="15"/>
    <x v="13"/>
    <x v="37"/>
    <n v="41.6"/>
    <n v="3.2"/>
    <n v="215"/>
    <n v="105.9"/>
    <n v="67.8"/>
    <n v="180.3"/>
    <n v="3.2130000000000001"/>
    <n v="16.399999999999999"/>
    <n v="26"/>
    <d v="2009-07-08T00:00:00"/>
    <n v="92.925791770000004"/>
    <n v="83504"/>
  </r>
  <r>
    <n v="1147"/>
    <n v="1"/>
    <x v="17"/>
    <x v="23"/>
    <x v="38"/>
    <n v="29.298999999999999"/>
    <n v="3.3"/>
    <n v="170"/>
    <n v="106.3"/>
    <n v="71.7"/>
    <n v="182.6"/>
    <n v="3.9470000000000001"/>
    <n v="21"/>
    <n v="19"/>
    <d v="2016-09-25T00:00:00"/>
    <n v="72.290355079999998"/>
    <n v="93050"/>
  </r>
  <r>
    <n v="1070"/>
    <n v="1"/>
    <x v="18"/>
    <x v="20"/>
    <x v="39"/>
    <m/>
    <n v="3.2"/>
    <n v="225"/>
    <n v="106.9"/>
    <n v="70.599999999999994"/>
    <n v="192"/>
    <n v="3.47"/>
    <n v="17.2"/>
    <n v="26"/>
    <d v="2010-01-04T00:00:00"/>
    <m/>
    <n v="123843"/>
  </r>
  <r>
    <n v="1491"/>
    <n v="1"/>
    <x v="2"/>
    <x v="4"/>
    <x v="40"/>
    <n v="16.7"/>
    <n v="2"/>
    <n v="115"/>
    <n v="98.9"/>
    <n v="68.3"/>
    <n v="172.3"/>
    <n v="2.8530000000000002"/>
    <n v="14.5"/>
    <n v="26"/>
    <d v="2024-08-27T00:00:00"/>
    <n v="47.638236659999997"/>
    <n v="230590"/>
  </r>
  <r>
    <n v="1094"/>
    <n v="1"/>
    <x v="8"/>
    <x v="21"/>
    <x v="41"/>
    <n v="31.01"/>
    <n v="3"/>
    <n v="200"/>
    <n v="107.4"/>
    <n v="70.3"/>
    <n v="194.8"/>
    <n v="3.77"/>
    <n v="18"/>
    <n v="22"/>
    <d v="2007-09-28T00:00:00"/>
    <n v="83.483093580000002"/>
    <n v="177127"/>
  </r>
  <r>
    <n v="1460"/>
    <n v="1"/>
    <x v="12"/>
    <x v="1"/>
    <x v="42"/>
    <n v="24.15"/>
    <n v="3.5"/>
    <n v="215"/>
    <n v="109"/>
    <n v="73.599999999999994"/>
    <n v="195.9"/>
    <n v="3.4550000000000001"/>
    <n v="18"/>
    <m/>
    <d v="2008-04-01T00:00:00"/>
    <n v="86.272522910000006"/>
    <n v="244769"/>
  </r>
  <r>
    <n v="1010"/>
    <n v="1"/>
    <x v="17"/>
    <x v="18"/>
    <x v="43"/>
    <n v="16.48"/>
    <n v="2"/>
    <n v="132"/>
    <n v="108"/>
    <n v="71"/>
    <n v="186"/>
    <n v="2.911"/>
    <n v="16"/>
    <n v="27"/>
    <d v="2016-10-06T00:00:00"/>
    <n v="53.566199869999998"/>
    <n v="246544"/>
  </r>
  <r>
    <n v="1096"/>
    <n v="1"/>
    <x v="4"/>
    <x v="22"/>
    <x v="44"/>
    <n v="23.99"/>
    <n v="1.8"/>
    <n v="150"/>
    <n v="102.6"/>
    <n v="68.2"/>
    <n v="178"/>
    <n v="2.9980000000000002"/>
    <n v="16.399999999999999"/>
    <n v="27"/>
    <d v="2007-10-08T00:00:00"/>
    <n v="62.777639200000003"/>
    <n v="214843"/>
  </r>
  <r>
    <n v="1102"/>
    <n v="2"/>
    <x v="5"/>
    <x v="10"/>
    <x v="45"/>
    <n v="21.41"/>
    <n v="3"/>
    <n v="150"/>
    <n v="120.7"/>
    <n v="76.599999999999994"/>
    <n v="200.9"/>
    <n v="3.7610000000000001"/>
    <n v="26"/>
    <n v="21"/>
    <d v="2023-02-25T00:00:00"/>
    <n v="62.095048390000002"/>
    <n v="162138"/>
  </r>
  <r>
    <n v="1257"/>
    <n v="1"/>
    <x v="19"/>
    <x v="20"/>
    <x v="46"/>
    <n v="42"/>
    <n v="3.5"/>
    <n v="210"/>
    <n v="114.6"/>
    <n v="71.400000000000006"/>
    <n v="196.6"/>
    <n v="3.85"/>
    <n v="18"/>
    <n v="22"/>
    <d v="2019-03-10T00:00:00"/>
    <n v="91.389779329999996"/>
    <n v="58749"/>
  </r>
  <r>
    <n v="1470"/>
    <n v="1"/>
    <x v="20"/>
    <x v="24"/>
    <x v="47"/>
    <n v="60.104999999999997"/>
    <n v="4.7"/>
    <n v="230"/>
    <n v="112.2"/>
    <n v="76.400000000000006"/>
    <n v="192.5"/>
    <n v="5.4009999999999998"/>
    <n v="25.4"/>
    <n v="15"/>
    <d v="2021-10-30T00:00:00"/>
    <n v="105.760458"/>
    <n v="181783"/>
  </r>
  <r>
    <n v="1198"/>
    <n v="2"/>
    <x v="5"/>
    <x v="3"/>
    <x v="48"/>
    <n v="23.4"/>
    <n v="1.9"/>
    <n v="160"/>
    <n v="100.5"/>
    <n v="67.599999999999994"/>
    <n v="176.6"/>
    <n v="2.9980000000000002"/>
    <n v="15.8"/>
    <n v="25"/>
    <d v="2021-02-18T00:00:00"/>
    <n v="66.113056799999995"/>
    <n v="261135"/>
  </r>
  <r>
    <n v="1491"/>
    <n v="2"/>
    <x v="19"/>
    <x v="11"/>
    <x v="49"/>
    <n v="23.754999999999999"/>
    <n v="3.8"/>
    <n v="205"/>
    <n v="112.2"/>
    <n v="72.599999999999994"/>
    <n v="202.5"/>
    <n v="3.59"/>
    <n v="17.5"/>
    <n v="24"/>
    <d v="2019-05-18T00:00:00"/>
    <n v="82.661355599999993"/>
    <n v="103412"/>
  </r>
  <r>
    <n v="1484"/>
    <n v="2"/>
    <x v="1"/>
    <x v="25"/>
    <x v="50"/>
    <n v="20.094999999999999"/>
    <n v="2.5"/>
    <n v="165"/>
    <n v="99.4"/>
    <n v="68.3"/>
    <n v="175.2"/>
    <n v="3.125"/>
    <n v="15.9"/>
    <n v="24"/>
    <d v="2011-09-10T00:00:00"/>
    <n v="66.762943309999997"/>
    <n v="254963"/>
  </r>
  <r>
    <n v="1032"/>
    <n v="2"/>
    <x v="21"/>
    <x v="19"/>
    <x v="51"/>
    <n v="71.02"/>
    <n v="3.4"/>
    <n v="300"/>
    <n v="92.6"/>
    <n v="69.5"/>
    <n v="174.5"/>
    <n v="3.032"/>
    <n v="17"/>
    <n v="21"/>
    <d v="2010-12-21T00:00:00"/>
    <n v="134.3909754"/>
    <n v="61380"/>
  </r>
  <r>
    <n v="1199"/>
    <n v="1"/>
    <x v="9"/>
    <x v="3"/>
    <x v="52"/>
    <n v="45.5"/>
    <n v="2.2999999999999998"/>
    <n v="236"/>
    <n v="104.9"/>
    <n v="71.5"/>
    <n v="185.7"/>
    <n v="3.601"/>
    <n v="18.5"/>
    <n v="23"/>
    <d v="2020-04-26T00:00:00"/>
    <n v="101.6233572"/>
    <n v="229021"/>
  </r>
  <r>
    <n v="1414"/>
    <n v="1"/>
    <x v="17"/>
    <x v="14"/>
    <x v="53"/>
    <n v="16.54"/>
    <n v="2"/>
    <n v="125"/>
    <n v="106.4"/>
    <n v="69.599999999999994"/>
    <n v="185"/>
    <n v="2.8919999999999999"/>
    <n v="16"/>
    <n v="30"/>
    <d v="2016-02-23T00:00:00"/>
    <n v="51.113474259999997"/>
    <n v="192857"/>
  </r>
  <r>
    <n v="1181"/>
    <n v="1"/>
    <x v="0"/>
    <x v="0"/>
    <x v="54"/>
    <n v="39.08"/>
    <n v="4.5999999999999996"/>
    <n v="275"/>
    <n v="109"/>
    <n v="73.599999999999994"/>
    <n v="208.5"/>
    <n v="3.8679999999999999"/>
    <n v="20"/>
    <n v="22"/>
    <d v="2020-08-03T00:00:00"/>
    <n v="113.5402069"/>
    <n v="54105"/>
  </r>
  <r>
    <n v="1496"/>
    <n v="2"/>
    <x v="10"/>
    <x v="2"/>
    <x v="55"/>
    <n v="26.31"/>
    <n v="5.2"/>
    <n v="230"/>
    <n v="115.7"/>
    <n v="71.7"/>
    <n v="193.5"/>
    <n v="4.3940000000000001"/>
    <n v="25"/>
    <n v="17"/>
    <d v="2016-06-27T00:00:00"/>
    <n v="92.85412522"/>
    <n v="218325"/>
  </r>
  <r>
    <n v="1150"/>
    <n v="1"/>
    <x v="15"/>
    <x v="5"/>
    <x v="56"/>
    <n v="45.704999999999998"/>
    <n v="5.7"/>
    <n v="345"/>
    <n v="104.5"/>
    <n v="73.599999999999994"/>
    <n v="179.7"/>
    <n v="3.21"/>
    <n v="19.100000000000001"/>
    <n v="22"/>
    <d v="2007-05-12T00:00:00"/>
    <n v="141.14115000000001"/>
    <n v="260214"/>
  </r>
  <r>
    <n v="1084"/>
    <n v="2"/>
    <x v="22"/>
    <x v="10"/>
    <x v="57"/>
    <n v="12.315"/>
    <n v="2"/>
    <n v="107"/>
    <n v="103"/>
    <n v="66.900000000000006"/>
    <n v="174.8"/>
    <n v="2.5640000000000001"/>
    <n v="13.2"/>
    <n v="30"/>
    <d v="2021-07-22T00:00:00"/>
    <n v="43.117132009999999"/>
    <n v="202310"/>
  </r>
  <r>
    <n v="1345"/>
    <n v="1"/>
    <x v="7"/>
    <x v="5"/>
    <x v="58"/>
    <n v="13.26"/>
    <n v="2.2000000000000002"/>
    <n v="115"/>
    <n v="104.1"/>
    <n v="67.900000000000006"/>
    <n v="180.9"/>
    <n v="2.6760000000000002"/>
    <n v="14.3"/>
    <n v="27"/>
    <d v="2022-08-17T00:00:00"/>
    <n v="46.363347470000001"/>
    <n v="234511"/>
  </r>
  <r>
    <n v="1021"/>
    <n v="2"/>
    <x v="17"/>
    <x v="15"/>
    <x v="59"/>
    <n v="43"/>
    <n v="3.5"/>
    <n v="253"/>
    <n v="113.3"/>
    <n v="76.3"/>
    <n v="165.4"/>
    <n v="2.85"/>
    <n v="12"/>
    <n v="21"/>
    <d v="2017-06-27T00:00:00"/>
    <n v="106.98445630000001"/>
    <n v="286774"/>
  </r>
  <r>
    <n v="1171"/>
    <n v="1"/>
    <x v="21"/>
    <x v="12"/>
    <x v="60"/>
    <n v="24.997"/>
    <n v="3.5"/>
    <n v="210"/>
    <n v="107.1"/>
    <n v="70.3"/>
    <n v="194.1"/>
    <n v="3.4430000000000001"/>
    <n v="19"/>
    <n v="22"/>
    <d v="2009-08-28T00:00:00"/>
    <n v="84.83077858"/>
    <n v="275044"/>
  </r>
  <r>
    <n v="1387"/>
    <n v="1"/>
    <x v="16"/>
    <x v="21"/>
    <x v="61"/>
    <n v="39.895000000000003"/>
    <n v="4.5999999999999996"/>
    <n v="275"/>
    <n v="115.3"/>
    <n v="74.5"/>
    <n v="207.2"/>
    <n v="3.9780000000000002"/>
    <n v="18.5"/>
    <n v="22"/>
    <d v="2025-02-23T00:00:00"/>
    <n v="113.85459760000001"/>
    <n v="241416"/>
  </r>
  <r>
    <n v="1385"/>
    <n v="1"/>
    <x v="15"/>
    <x v="13"/>
    <x v="62"/>
    <n v="41"/>
    <n v="2.2999999999999998"/>
    <n v="185"/>
    <n v="94.5"/>
    <n v="67.5"/>
    <n v="157.30000000000001"/>
    <n v="2.9750000000000001"/>
    <n v="14"/>
    <n v="27"/>
    <d v="2010-08-06T00:00:00"/>
    <n v="81.848969240000002"/>
    <n v="59409"/>
  </r>
  <r>
    <n v="1023"/>
    <n v="1"/>
    <x v="12"/>
    <x v="1"/>
    <x v="63"/>
    <n v="18.145"/>
    <n v="3.1"/>
    <n v="150"/>
    <n v="107"/>
    <n v="69.400000000000006"/>
    <n v="192"/>
    <n v="3.1019999999999999"/>
    <n v="15.2"/>
    <n v="25"/>
    <d v="2006-05-31T00:00:00"/>
    <n v="60.861611549999999"/>
    <n v="232945"/>
  </r>
  <r>
    <n v="1380"/>
    <n v="1"/>
    <x v="19"/>
    <x v="10"/>
    <x v="64"/>
    <n v="22.195"/>
    <n v="4.5999999999999996"/>
    <n v="200"/>
    <n v="114.7"/>
    <n v="78.2"/>
    <n v="212"/>
    <n v="3.9079999999999999"/>
    <n v="19"/>
    <n v="21"/>
    <d v="2018-09-26T00:00:00"/>
    <n v="80.499536710000001"/>
    <n v="194407"/>
  </r>
  <r>
    <n v="1076"/>
    <n v="1"/>
    <x v="8"/>
    <x v="10"/>
    <x v="65"/>
    <n v="26.934999999999999"/>
    <n v="4.5999999999999996"/>
    <n v="220"/>
    <n v="138.5"/>
    <n v="79.099999999999994"/>
    <n v="224.5"/>
    <n v="4.2409999999999997"/>
    <n v="25.1"/>
    <n v="18"/>
    <d v="2005-08-16T00:00:00"/>
    <n v="89.401934729999994"/>
    <n v="282752"/>
  </r>
  <r>
    <n v="1006"/>
    <n v="1"/>
    <x v="14"/>
    <x v="5"/>
    <x v="66"/>
    <n v="18.89"/>
    <n v="3.1"/>
    <n v="175"/>
    <n v="107.5"/>
    <n v="72.5"/>
    <n v="200.9"/>
    <n v="3.33"/>
    <n v="16.600000000000001"/>
    <n v="25"/>
    <d v="2024-05-24T00:00:00"/>
    <n v="69.991395600000004"/>
    <n v="188621"/>
  </r>
  <r>
    <n v="1112"/>
    <n v="1"/>
    <x v="12"/>
    <x v="23"/>
    <x v="67"/>
    <n v="17.89"/>
    <n v="3.3"/>
    <n v="170"/>
    <n v="116.1"/>
    <n v="66.5"/>
    <n v="196.1"/>
    <n v="3.2170000000000001"/>
    <n v="19.399999999999999"/>
    <n v="18"/>
    <d v="2010-08-27T00:00:00"/>
    <n v="67.889270589999995"/>
    <n v="98219"/>
  </r>
  <r>
    <n v="1199"/>
    <n v="2"/>
    <x v="19"/>
    <x v="26"/>
    <x v="68"/>
    <n v="14.29"/>
    <n v="1.9"/>
    <n v="124"/>
    <n v="102.4"/>
    <n v="66.400000000000006"/>
    <n v="176.9"/>
    <n v="2.452"/>
    <n v="12.1"/>
    <n v="31"/>
    <d v="2022-01-15T00:00:00"/>
    <n v="49.865773670000003"/>
    <n v="67466"/>
  </r>
  <r>
    <n v="1494"/>
    <n v="2"/>
    <x v="13"/>
    <x v="4"/>
    <x v="69"/>
    <n v="19.989999999999998"/>
    <n v="2"/>
    <n v="115"/>
    <n v="97.4"/>
    <n v="66.7"/>
    <n v="160.4"/>
    <n v="3.0790000000000002"/>
    <n v="13.7"/>
    <n v="26"/>
    <d v="2005-05-31T00:00:00"/>
    <n v="48.907372250000002"/>
    <n v="120193"/>
  </r>
  <r>
    <n v="1076"/>
    <n v="2"/>
    <x v="1"/>
    <x v="27"/>
    <x v="70"/>
    <n v="31.965"/>
    <n v="3.8"/>
    <n v="205"/>
    <n v="113.8"/>
    <n v="74.7"/>
    <n v="206.8"/>
    <n v="3.778"/>
    <n v="18.5"/>
    <n v="24"/>
    <d v="2011-03-23T00:00:00"/>
    <n v="85.828408249999995"/>
    <n v="236172"/>
  </r>
  <r>
    <n v="1378"/>
    <n v="1"/>
    <x v="6"/>
    <x v="26"/>
    <x v="71"/>
    <n v="18.835000000000001"/>
    <n v="2.2000000000000002"/>
    <n v="137"/>
    <n v="106.5"/>
    <n v="69"/>
    <n v="190.4"/>
    <n v="3.0750000000000002"/>
    <n v="13.1"/>
    <n v="27"/>
    <d v="2017-08-05T00:00:00"/>
    <n v="56.295243040000003"/>
    <n v="156691"/>
  </r>
  <r>
    <n v="1249"/>
    <n v="1"/>
    <x v="0"/>
    <x v="5"/>
    <x v="72"/>
    <n v="19.39"/>
    <n v="3.4"/>
    <n v="180"/>
    <n v="110.5"/>
    <n v="72.7"/>
    <n v="197.9"/>
    <n v="3.34"/>
    <n v="17"/>
    <n v="27"/>
    <d v="2024-12-22T00:00:00"/>
    <n v="72.030917189999997"/>
    <n v="53528"/>
  </r>
  <r>
    <n v="1285"/>
    <n v="1"/>
    <x v="16"/>
    <x v="28"/>
    <x v="73"/>
    <n v="42.8"/>
    <n v="3"/>
    <n v="240"/>
    <n v="114.5"/>
    <n v="71.599999999999994"/>
    <n v="191.3"/>
    <n v="3.65"/>
    <n v="18.399999999999999"/>
    <n v="21"/>
    <d v="2022-11-03T00:00:00"/>
    <n v="102.17898479999999"/>
    <n v="234341"/>
  </r>
  <r>
    <n v="1381"/>
    <n v="1"/>
    <x v="17"/>
    <x v="12"/>
    <x v="74"/>
    <n v="19.047000000000001"/>
    <n v="2.4"/>
    <n v="154"/>
    <n v="100.8"/>
    <n v="68.900000000000006"/>
    <n v="175.4"/>
    <n v="2.91"/>
    <n v="15.9"/>
    <n v="24"/>
    <d v="2012-11-24T00:00:00"/>
    <n v="62.441962349999997"/>
    <n v="70769"/>
  </r>
  <r>
    <n v="1096"/>
    <n v="2"/>
    <x v="10"/>
    <x v="10"/>
    <x v="75"/>
    <n v="17.035"/>
    <n v="2.5"/>
    <n v="170"/>
    <n v="106.5"/>
    <n v="69.099999999999994"/>
    <n v="184.6"/>
    <n v="2.7690000000000001"/>
    <n v="15"/>
    <n v="25"/>
    <d v="2014-08-20T00:00:00"/>
    <n v="67.351010720000005"/>
    <n v="215005"/>
  </r>
  <r>
    <n v="1479"/>
    <n v="1"/>
    <x v="19"/>
    <x v="16"/>
    <x v="76"/>
    <n v="26"/>
    <n v="3.5"/>
    <n v="210"/>
    <n v="118.1"/>
    <n v="75.599999999999994"/>
    <n v="201.2"/>
    <n v="4.2880000000000003"/>
    <n v="20"/>
    <n v="23"/>
    <d v="2019-02-08T00:00:00"/>
    <n v="85.217691340000002"/>
    <n v="288152"/>
  </r>
  <r>
    <n v="1033"/>
    <n v="1"/>
    <x v="18"/>
    <x v="2"/>
    <x v="77"/>
    <n v="20.23"/>
    <n v="2.5"/>
    <n v="168"/>
    <n v="108"/>
    <n v="71"/>
    <n v="186"/>
    <n v="3.0579999999999998"/>
    <n v="16"/>
    <n v="24"/>
    <d v="2010-10-31T00:00:00"/>
    <n v="67.876107840000003"/>
    <n v="49336"/>
  </r>
  <r>
    <n v="1104"/>
    <n v="1"/>
    <x v="5"/>
    <x v="13"/>
    <x v="78"/>
    <n v="35.299999999999997"/>
    <n v="3.2"/>
    <n v="215"/>
    <n v="111"/>
    <n v="72.2"/>
    <n v="180.6"/>
    <n v="4.3869999999999996"/>
    <n v="19"/>
    <n v="20"/>
    <d v="2021-02-10T00:00:00"/>
    <n v="90.495532130000001"/>
    <n v="152140"/>
  </r>
  <r>
    <n v="1468"/>
    <n v="1"/>
    <x v="1"/>
    <x v="26"/>
    <x v="79"/>
    <n v="10.685"/>
    <n v="1.9"/>
    <n v="100"/>
    <n v="102.4"/>
    <n v="66.400000000000006"/>
    <n v="176.9"/>
    <n v="2.3319999999999999"/>
    <n v="12.1"/>
    <n v="33"/>
    <d v="2016-08-16T00:00:00"/>
    <n v="39.986424749999998"/>
    <n v="258852"/>
  </r>
  <r>
    <n v="1394"/>
    <n v="1"/>
    <x v="11"/>
    <x v="18"/>
    <x v="80"/>
    <n v="29.184999999999999"/>
    <n v="3.5"/>
    <n v="253"/>
    <n v="113"/>
    <n v="74.400000000000006"/>
    <n v="197.8"/>
    <n v="3.5670000000000002"/>
    <n v="17"/>
    <n v="23"/>
    <d v="2025-02-10T00:00:00"/>
    <n v="101.6552441"/>
    <n v="216349"/>
  </r>
  <r>
    <n v="1466"/>
    <n v="1"/>
    <x v="7"/>
    <x v="12"/>
    <x v="81"/>
    <n v="25.45"/>
    <n v="3"/>
    <n v="161"/>
    <n v="97.2"/>
    <n v="72.400000000000006"/>
    <n v="180.3"/>
    <n v="3.1309999999999998"/>
    <n v="19.8"/>
    <n v="21"/>
    <d v="2017-06-29T00:00:00"/>
    <n v="67.544154939999999"/>
    <n v="146859"/>
  </r>
  <r>
    <n v="1348"/>
    <n v="1"/>
    <x v="8"/>
    <x v="14"/>
    <x v="82"/>
    <n v="22.51"/>
    <n v="3.3"/>
    <n v="170"/>
    <n v="112.2"/>
    <n v="74.900000000000006"/>
    <n v="194.7"/>
    <n v="3.944"/>
    <n v="20"/>
    <n v="21"/>
    <d v="2005-10-20T00:00:00"/>
    <n v="69.671460999999994"/>
    <n v="225117"/>
  </r>
  <r>
    <n v="1067"/>
    <n v="1"/>
    <x v="15"/>
    <x v="21"/>
    <x v="83"/>
    <n v="39.664999999999999"/>
    <n v="4.5999999999999996"/>
    <n v="275"/>
    <n v="108"/>
    <n v="75.5"/>
    <n v="200.6"/>
    <n v="3.843"/>
    <n v="19"/>
    <n v="22"/>
    <d v="2007-11-27T00:00:00"/>
    <n v="113.7658739"/>
    <n v="155361"/>
  </r>
  <r>
    <n v="1288"/>
    <n v="2"/>
    <x v="17"/>
    <x v="8"/>
    <x v="84"/>
    <n v="16.875"/>
    <n v="1.8"/>
    <n v="140"/>
    <n v="102.4"/>
    <n v="68.3"/>
    <n v="170.5"/>
    <n v="2.4249999999999998"/>
    <n v="14.5"/>
    <n v="31"/>
    <d v="2014-12-29T00:00:00"/>
    <n v="56.496030339999997"/>
    <n v="223905"/>
  </r>
  <r>
    <n v="1132"/>
    <n v="2"/>
    <x v="10"/>
    <x v="8"/>
    <x v="85"/>
    <n v="22.288"/>
    <n v="2.7"/>
    <n v="150"/>
    <n v="105.3"/>
    <n v="66.5"/>
    <n v="183.3"/>
    <n v="3.44"/>
    <n v="18.5"/>
    <n v="23"/>
    <d v="2016-03-07T00:00:00"/>
    <n v="62.35557713"/>
    <n v="90484"/>
  </r>
  <r>
    <n v="1378"/>
    <n v="2"/>
    <x v="6"/>
    <x v="3"/>
    <x v="86"/>
    <n v="36"/>
    <n v="2.9"/>
    <n v="201"/>
    <n v="109.9"/>
    <n v="72.099999999999994"/>
    <n v="189.8"/>
    <n v="3.6"/>
    <n v="21.1"/>
    <n v="24"/>
    <d v="2018-11-14T00:00:00"/>
    <n v="85.735654510000003"/>
    <n v="87990"/>
  </r>
  <r>
    <n v="1416"/>
    <n v="1"/>
    <x v="1"/>
    <x v="18"/>
    <x v="87"/>
    <m/>
    <m/>
    <m/>
    <m/>
    <m/>
    <m/>
    <m/>
    <m/>
    <m/>
    <d v="2016-07-13T00:00:00"/>
    <m/>
    <n v="257947"/>
  </r>
  <r>
    <n v="1352"/>
    <n v="1"/>
    <x v="1"/>
    <x v="14"/>
    <x v="88"/>
    <n v="27.56"/>
    <n v="4"/>
    <n v="210"/>
    <n v="111.6"/>
    <n v="70.2"/>
    <n v="190.1"/>
    <n v="3.8759999999999999"/>
    <n v="21"/>
    <n v="18"/>
    <d v="2016-02-13T00:00:00"/>
    <n v="85.949744249999995"/>
    <n v="137028"/>
  </r>
  <r>
    <n v="1074"/>
    <n v="1"/>
    <x v="18"/>
    <x v="0"/>
    <x v="89"/>
    <n v="43.33"/>
    <n v="4.5999999999999996"/>
    <n v="215"/>
    <n v="117.7"/>
    <n v="78.2"/>
    <n v="215.3"/>
    <n v="4.1210000000000004"/>
    <n v="19"/>
    <n v="21"/>
    <d v="2011-06-04T00:00:00"/>
    <n v="93.957916900000001"/>
    <n v="232187"/>
  </r>
  <r>
    <n v="1054"/>
    <n v="1"/>
    <x v="17"/>
    <x v="8"/>
    <x v="90"/>
    <n v="16.888000000000002"/>
    <n v="2"/>
    <n v="127"/>
    <n v="94.9"/>
    <n v="66.7"/>
    <n v="163.80000000000001"/>
    <n v="2.6680000000000001"/>
    <n v="15.3"/>
    <n v="27"/>
    <d v="2016-05-06T00:00:00"/>
    <n v="51.955108869999997"/>
    <n v="278231"/>
  </r>
  <r>
    <n v="1049"/>
    <n v="1"/>
    <x v="6"/>
    <x v="1"/>
    <x v="91"/>
    <n v="18.27"/>
    <n v="2.4"/>
    <n v="150"/>
    <n v="107"/>
    <n v="70.099999999999994"/>
    <n v="186.7"/>
    <n v="2.9580000000000002"/>
    <n v="15"/>
    <n v="27"/>
    <d v="2019-10-20T00:00:00"/>
    <n v="60.727446929999999"/>
    <n v="225246"/>
  </r>
  <r>
    <n v="1232"/>
    <n v="1"/>
    <x v="9"/>
    <x v="2"/>
    <x v="92"/>
    <n v="19.045000000000002"/>
    <n v="2.5"/>
    <n v="163"/>
    <n v="103.7"/>
    <n v="69.099999999999994"/>
    <n v="190.2"/>
    <n v="2.879"/>
    <n v="15.9"/>
    <n v="24"/>
    <d v="2019-07-01T00:00:00"/>
    <n v="65.650508340000002"/>
    <n v="250652"/>
  </r>
  <r>
    <n v="1119"/>
    <n v="2"/>
    <x v="22"/>
    <x v="4"/>
    <x v="93"/>
    <n v="15.9"/>
    <n v="2"/>
    <n v="115"/>
    <n v="98.9"/>
    <n v="67.900000000000006"/>
    <n v="161.1"/>
    <n v="2.7690000000000001"/>
    <n v="14.5"/>
    <n v="26"/>
    <d v="2021-10-20T00:00:00"/>
    <n v="47.329632259999997"/>
    <n v="168799"/>
  </r>
  <r>
    <n v="1326"/>
    <n v="1"/>
    <x v="12"/>
    <x v="13"/>
    <x v="94"/>
    <n v="82.6"/>
    <n v="5"/>
    <n v="302"/>
    <n v="99"/>
    <n v="71.3"/>
    <n v="177.1"/>
    <n v="4.125"/>
    <n v="21.1"/>
    <n v="20"/>
    <d v="2007-03-17T00:00:00"/>
    <n v="139.98229359999999"/>
    <n v="232959"/>
  </r>
  <r>
    <n v="1085"/>
    <n v="1"/>
    <x v="16"/>
    <x v="13"/>
    <x v="95"/>
    <n v="85.5"/>
    <n v="5"/>
    <n v="302"/>
    <n v="113.6"/>
    <n v="73.099999999999994"/>
    <n v="196.6"/>
    <n v="4.1150000000000002"/>
    <n v="23.2"/>
    <n v="20"/>
    <d v="2023-04-11T00:00:00"/>
    <n v="141.10098450000001"/>
    <n v="127350"/>
  </r>
  <r>
    <n v="1024"/>
    <n v="1"/>
    <x v="22"/>
    <x v="27"/>
    <x v="96"/>
    <n v="25.3"/>
    <n v="3.8"/>
    <n v="240"/>
    <n v="109"/>
    <n v="72.7"/>
    <n v="196.2"/>
    <n v="3.5430000000000001"/>
    <n v="17.5"/>
    <n v="23"/>
    <d v="2023-09-03T00:00:00"/>
    <n v="95.636702529999994"/>
    <n v="228493"/>
  </r>
  <r>
    <n v="1166"/>
    <n v="1"/>
    <x v="6"/>
    <x v="2"/>
    <x v="97"/>
    <n v="19.565000000000001"/>
    <n v="2.4"/>
    <n v="150"/>
    <n v="113.3"/>
    <n v="76.8"/>
    <n v="186.3"/>
    <n v="3.5329999999999999"/>
    <n v="20"/>
    <n v="24"/>
    <d v="2018-09-01T00:00:00"/>
    <n v="61.227000310000001"/>
    <n v="155738"/>
  </r>
  <r>
    <n v="1140"/>
    <n v="1"/>
    <x v="9"/>
    <x v="14"/>
    <x v="98"/>
    <n v="19.035"/>
    <n v="3"/>
    <n v="153"/>
    <n v="108.5"/>
    <n v="73"/>
    <n v="199.7"/>
    <n v="3.379"/>
    <n v="16"/>
    <n v="24"/>
    <d v="2017-09-22T00:00:00"/>
    <n v="62.239966629999998"/>
    <n v="76930"/>
  </r>
  <r>
    <n v="1177"/>
    <n v="1"/>
    <x v="12"/>
    <x v="17"/>
    <x v="99"/>
    <n v="33.4"/>
    <n v="2.8"/>
    <n v="193"/>
    <n v="107.3"/>
    <n v="68.5"/>
    <n v="176"/>
    <n v="3.1970000000000001"/>
    <n v="16.600000000000001"/>
    <n v="24"/>
    <d v="2007-01-29T00:00:00"/>
    <n v="81.877068559999998"/>
    <n v="166918"/>
  </r>
  <r>
    <n v="1463"/>
    <n v="1"/>
    <x v="19"/>
    <x v="18"/>
    <x v="100"/>
    <n v="24.495000000000001"/>
    <n v="2.5"/>
    <n v="168"/>
    <n v="106"/>
    <n v="69.2"/>
    <n v="193"/>
    <n v="3.3319999999999999"/>
    <n v="16"/>
    <n v="24"/>
    <d v="2023-11-17T00:00:00"/>
    <n v="69.521355049999997"/>
    <n v="94663"/>
  </r>
  <r>
    <n v="1329"/>
    <n v="1"/>
    <x v="4"/>
    <x v="9"/>
    <x v="101"/>
    <n v="14.46"/>
    <n v="2.5"/>
    <n v="120"/>
    <n v="93.4"/>
    <n v="66.7"/>
    <n v="152"/>
    <n v="3.0449999999999999"/>
    <n v="19"/>
    <n v="17"/>
    <d v="2010-03-04T00:00:00"/>
    <n v="48.672897910000003"/>
    <n v="215110"/>
  </r>
  <r>
    <n v="1489"/>
    <n v="1"/>
    <x v="9"/>
    <x v="5"/>
    <x v="102"/>
    <n v="24.34"/>
    <n v="3.8"/>
    <n v="200"/>
    <n v="101.1"/>
    <n v="74.099999999999994"/>
    <n v="193.2"/>
    <n v="3.5"/>
    <n v="16.8"/>
    <n v="25"/>
    <d v="2016-10-23T00:00:00"/>
    <n v="81.118543329999994"/>
    <n v="298862"/>
  </r>
  <r>
    <n v="1438"/>
    <n v="2"/>
    <x v="6"/>
    <x v="15"/>
    <x v="14"/>
    <n v="12.64"/>
    <n v="2"/>
    <n v="132"/>
    <n v="105"/>
    <n v="74.400000000000006"/>
    <n v="174.4"/>
    <n v="2.5590000000000002"/>
    <n v="12.5"/>
    <n v="29"/>
    <d v="2015-04-26T00:00:00"/>
    <n v="52.084898750000001"/>
    <n v="189619"/>
  </r>
  <r>
    <n v="1217"/>
    <n v="1"/>
    <x v="0"/>
    <x v="9"/>
    <x v="103"/>
    <n v="21.62"/>
    <n v="4"/>
    <n v="190"/>
    <n v="101.4"/>
    <n v="69.400000000000006"/>
    <n v="167.5"/>
    <n v="3.194"/>
    <n v="20"/>
    <n v="20"/>
    <d v="2019-10-05T00:00:00"/>
    <n v="76.584439619999998"/>
    <n v="86076"/>
  </r>
  <r>
    <n v="1286"/>
    <n v="1"/>
    <x v="3"/>
    <x v="29"/>
    <x v="104"/>
    <n v="29.465"/>
    <n v="3"/>
    <n v="227"/>
    <n v="108.3"/>
    <n v="70.2"/>
    <n v="193.7"/>
    <n v="3.3420000000000001"/>
    <n v="18.5"/>
    <n v="25"/>
    <d v="2010-04-15T00:00:00"/>
    <n v="92.436889230000006"/>
    <n v="199222"/>
  </r>
  <r>
    <n v="1265"/>
    <n v="2"/>
    <x v="11"/>
    <x v="8"/>
    <x v="105"/>
    <n v="51.728000000000002"/>
    <n v="4.7"/>
    <n v="230"/>
    <n v="112.2"/>
    <n v="76.400000000000006"/>
    <n v="192.5"/>
    <n v="5.1150000000000002"/>
    <n v="25.4"/>
    <n v="15"/>
    <d v="2025-09-25T00:00:00"/>
    <n v="102.5289842"/>
    <n v="179077"/>
  </r>
  <r>
    <n v="1137"/>
    <n v="1"/>
    <x v="21"/>
    <x v="12"/>
    <x v="106"/>
    <n v="22.527000000000001"/>
    <n v="3"/>
    <n v="173"/>
    <n v="107.3"/>
    <n v="66.7"/>
    <n v="178.3"/>
    <n v="3.51"/>
    <n v="19.5"/>
    <n v="20"/>
    <d v="2012-05-18T00:00:00"/>
    <n v="70.660941789999995"/>
    <n v="184816"/>
  </r>
  <r>
    <n v="1257"/>
    <n v="2"/>
    <x v="4"/>
    <x v="10"/>
    <x v="107"/>
    <n v="21.56"/>
    <n v="3.8"/>
    <n v="190"/>
    <n v="101.3"/>
    <n v="73.099999999999994"/>
    <n v="183.2"/>
    <n v="3.2029999999999998"/>
    <n v="15.7"/>
    <n v="24"/>
    <d v="2010-01-31T00:00:00"/>
    <n v="76.509184559999994"/>
    <n v="213741"/>
  </r>
  <r>
    <n v="1380"/>
    <n v="2"/>
    <x v="7"/>
    <x v="17"/>
    <x v="108"/>
    <n v="26.99"/>
    <n v="2.5"/>
    <n v="170"/>
    <n v="107.3"/>
    <n v="68.400000000000006"/>
    <n v="176"/>
    <n v="3.1789999999999998"/>
    <n v="16.600000000000001"/>
    <n v="26"/>
    <d v="2019-06-28T00:00:00"/>
    <n v="71.191206710000003"/>
    <n v="237851"/>
  </r>
  <r>
    <n v="1435"/>
    <n v="2"/>
    <x v="14"/>
    <x v="1"/>
    <x v="109"/>
    <n v="31.597999999999999"/>
    <n v="4.3"/>
    <n v="190"/>
    <n v="107"/>
    <n v="67.8"/>
    <n v="181.2"/>
    <n v="4.0679999999999996"/>
    <n v="17.5"/>
    <n v="19"/>
    <d v="2024-09-21T00:00:00"/>
    <n v="80.511672590000003"/>
    <n v="77901"/>
  </r>
  <r>
    <n v="1166"/>
    <n v="2"/>
    <x v="6"/>
    <x v="20"/>
    <x v="110"/>
    <n v="28.4"/>
    <n v="3.2"/>
    <n v="225"/>
    <n v="108.1"/>
    <n v="70.3"/>
    <n v="192.9"/>
    <n v="3.5169999999999999"/>
    <n v="17.2"/>
    <n v="25"/>
    <d v="2015-06-03T00:00:00"/>
    <n v="91.370777660000002"/>
    <n v="143586"/>
  </r>
  <r>
    <n v="1121"/>
    <n v="1"/>
    <x v="22"/>
    <x v="2"/>
    <x v="111"/>
    <n v="19.46"/>
    <n v="5.2"/>
    <n v="230"/>
    <n v="138.69999999999999"/>
    <n v="79.3"/>
    <n v="224.2"/>
    <n v="4.47"/>
    <n v="26"/>
    <n v="17"/>
    <d v="2024-03-06T00:00:00"/>
    <n v="90.211700050000005"/>
    <n v="260003"/>
  </r>
  <r>
    <n v="1411"/>
    <n v="1"/>
    <x v="16"/>
    <x v="5"/>
    <x v="112"/>
    <n v="16.535"/>
    <n v="3.1"/>
    <n v="170"/>
    <n v="107"/>
    <n v="69.400000000000006"/>
    <n v="190.4"/>
    <n v="3.0510000000000002"/>
    <n v="15"/>
    <n v="25"/>
    <d v="2022-03-19T00:00:00"/>
    <n v="67.314462160000005"/>
    <n v="148159"/>
  </r>
  <r>
    <n v="1323"/>
    <n v="1"/>
    <x v="14"/>
    <x v="2"/>
    <x v="113"/>
    <n v="18.574999999999999"/>
    <n v="3.9"/>
    <n v="175"/>
    <n v="127.2"/>
    <n v="78.8"/>
    <n v="208.5"/>
    <n v="4.298"/>
    <n v="32"/>
    <n v="16"/>
    <d v="2024-07-26T00:00:00"/>
    <n v="70.078321540000005"/>
    <n v="99624"/>
  </r>
  <r>
    <n v="1004"/>
    <n v="1"/>
    <x v="21"/>
    <x v="21"/>
    <x v="114"/>
    <n v="44.475000000000001"/>
    <n v="4.5999999999999996"/>
    <n v="275"/>
    <n v="112.2"/>
    <n v="75"/>
    <n v="201"/>
    <m/>
    <n v="18.5"/>
    <n v="22"/>
    <d v="2011-04-29T00:00:00"/>
    <n v="115.6213578"/>
    <n v="117283"/>
  </r>
  <r>
    <n v="1040"/>
    <n v="1"/>
    <x v="13"/>
    <x v="11"/>
    <x v="115"/>
    <n v="25.635000000000002"/>
    <n v="3.4"/>
    <n v="185"/>
    <n v="120"/>
    <n v="72.7"/>
    <n v="201.3"/>
    <n v="3.9420000000000002"/>
    <n v="25"/>
    <n v="23"/>
    <d v="2005-07-22T00:00:00"/>
    <n v="76.208439519999999"/>
    <n v="294640"/>
  </r>
  <r>
    <n v="1375"/>
    <n v="1"/>
    <x v="21"/>
    <x v="27"/>
    <x v="116"/>
    <n v="27.885000000000002"/>
    <n v="3.8"/>
    <n v="205"/>
    <n v="112.2"/>
    <n v="73.5"/>
    <n v="200"/>
    <n v="3.5910000000000002"/>
    <n v="17.5"/>
    <n v="25"/>
    <d v="2009-07-23T00:00:00"/>
    <n v="84.254525810000004"/>
    <n v="90979"/>
  </r>
  <r>
    <n v="1445"/>
    <n v="1"/>
    <x v="21"/>
    <x v="24"/>
    <x v="117"/>
    <n v="37.805"/>
    <n v="3"/>
    <n v="225"/>
    <n v="110.2"/>
    <n v="70.900000000000006"/>
    <n v="189.2"/>
    <n v="3.6379999999999999"/>
    <n v="19.8"/>
    <n v="23"/>
    <d v="2009-05-10T00:00:00"/>
    <n v="94.946698400000002"/>
    <n v="51706"/>
  </r>
  <r>
    <n v="1369"/>
    <n v="1"/>
    <x v="22"/>
    <x v="23"/>
    <x v="118"/>
    <n v="13.499000000000001"/>
    <n v="1.8"/>
    <n v="126"/>
    <n v="99.8"/>
    <n v="67.3"/>
    <n v="177.5"/>
    <n v="2.593"/>
    <n v="13.2"/>
    <n v="30"/>
    <d v="2023-08-31T00:00:00"/>
    <n v="50.241977910000003"/>
    <n v="155451"/>
  </r>
  <r>
    <n v="1081"/>
    <n v="1"/>
    <x v="2"/>
    <x v="13"/>
    <x v="119"/>
    <n v="69.7"/>
    <n v="4.3"/>
    <n v="275"/>
    <n v="121.5"/>
    <n v="73.099999999999994"/>
    <n v="203.1"/>
    <n v="4.133"/>
    <n v="23.2"/>
    <n v="21"/>
    <d v="2023-06-13T00:00:00"/>
    <n v="125.2738757"/>
    <n v="252177"/>
  </r>
  <r>
    <n v="1039"/>
    <n v="1"/>
    <x v="5"/>
    <x v="2"/>
    <x v="120"/>
    <n v="16.98"/>
    <n v="2.5"/>
    <n v="120"/>
    <n v="131"/>
    <n v="71.5"/>
    <n v="215"/>
    <n v="3.5569999999999999"/>
    <n v="22"/>
    <n v="19"/>
    <d v="2021-11-25T00:00:00"/>
    <n v="49.64500177"/>
    <n v="59025"/>
  </r>
  <r>
    <n v="1480"/>
    <n v="1"/>
    <x v="22"/>
    <x v="27"/>
    <x v="121"/>
    <n v="21.975000000000001"/>
    <n v="3.1"/>
    <n v="175"/>
    <n v="109"/>
    <n v="72.7"/>
    <n v="194.6"/>
    <n v="3.3679999999999999"/>
    <n v="17.5"/>
    <n v="25"/>
    <d v="2022-11-02T00:00:00"/>
    <n v="71.181451319999994"/>
    <n v="80974"/>
  </r>
  <r>
    <n v="1088"/>
    <n v="1"/>
    <x v="19"/>
    <x v="12"/>
    <x v="122"/>
    <n v="31.806999999999999"/>
    <n v="3.5"/>
    <n v="200"/>
    <n v="107.3"/>
    <n v="69.900000000000006"/>
    <n v="186.6"/>
    <n v="4.5199999999999996"/>
    <n v="24.3"/>
    <n v="18"/>
    <d v="2018-01-17T00:00:00"/>
    <n v="83.920815039999994"/>
    <n v="101713"/>
  </r>
  <r>
    <n v="1134"/>
    <n v="1"/>
    <x v="10"/>
    <x v="5"/>
    <x v="123"/>
    <n v="13.96"/>
    <n v="1.8"/>
    <n v="120"/>
    <n v="97.1"/>
    <n v="66.7"/>
    <n v="174.3"/>
    <n v="2.3980000000000001"/>
    <n v="13.2"/>
    <n v="33"/>
    <d v="2015-09-11T00:00:00"/>
    <n v="48.297636099999998"/>
    <n v="86300"/>
  </r>
  <r>
    <n v="1339"/>
    <n v="1"/>
    <x v="12"/>
    <x v="18"/>
    <x v="124"/>
    <n v="22.245000000000001"/>
    <n v="2.7"/>
    <n v="200"/>
    <n v="113"/>
    <n v="74.400000000000006"/>
    <n v="209.1"/>
    <n v="3.452"/>
    <n v="17"/>
    <n v="26"/>
    <d v="2007-06-06T00:00:00"/>
    <n v="80.02378204"/>
    <n v="145013"/>
  </r>
  <r>
    <n v="1310"/>
    <n v="1"/>
    <x v="19"/>
    <x v="23"/>
    <x v="125"/>
    <n v="20.39"/>
    <n v="2.4"/>
    <n v="155"/>
    <n v="103.1"/>
    <n v="69.099999999999994"/>
    <n v="183.5"/>
    <n v="3.012"/>
    <n v="15.9"/>
    <n v="25"/>
    <d v="2021-08-02T00:00:00"/>
    <n v="63.313727829999998"/>
    <n v="195064"/>
  </r>
  <r>
    <n v="1468"/>
    <n v="2"/>
    <x v="1"/>
    <x v="3"/>
    <x v="126"/>
    <n v="27.5"/>
    <n v="2.4"/>
    <n v="168"/>
    <n v="104.9"/>
    <n v="69.3"/>
    <n v="185.9"/>
    <n v="3.2080000000000002"/>
    <n v="17.899999999999999"/>
    <n v="25"/>
    <d v="2014-11-24T00:00:00"/>
    <n v="70.654495449999999"/>
    <n v="64092"/>
  </r>
  <r>
    <n v="1007"/>
    <n v="1"/>
    <x v="20"/>
    <x v="14"/>
    <x v="127"/>
    <n v="16.239999999999998"/>
    <n v="2"/>
    <n v="125"/>
    <n v="106.5"/>
    <n v="69.099999999999994"/>
    <n v="184.8"/>
    <n v="2.7690000000000001"/>
    <n v="15"/>
    <n v="28"/>
    <d v="2017-12-19T00:00:00"/>
    <n v="50.997747609999998"/>
    <n v="295413"/>
  </r>
  <r>
    <n v="1040"/>
    <n v="2"/>
    <x v="3"/>
    <x v="4"/>
    <x v="128"/>
    <n v="21.2"/>
    <n v="1.8"/>
    <n v="150"/>
    <n v="106.4"/>
    <n v="68.5"/>
    <n v="184.1"/>
    <n v="3.0430000000000001"/>
    <n v="16.399999999999999"/>
    <n v="27"/>
    <d v="2010-10-30T00:00:00"/>
    <n v="61.701381359999999"/>
    <n v="263088"/>
  </r>
  <r>
    <n v="1190"/>
    <n v="1"/>
    <x v="19"/>
    <x v="24"/>
    <x v="129"/>
    <n v="34.604999999999997"/>
    <n v="3"/>
    <n v="220"/>
    <n v="103"/>
    <n v="71.5"/>
    <n v="180.1"/>
    <n v="3.9"/>
    <n v="17.2"/>
    <n v="21"/>
    <d v="2021-01-04T00:00:00"/>
    <n v="91.943801559999997"/>
    <n v="123590"/>
  </r>
  <r>
    <n v="1422"/>
    <n v="2"/>
    <x v="15"/>
    <x v="11"/>
    <x v="130"/>
    <n v="21.664999999999999"/>
    <n v="3.8"/>
    <n v="195"/>
    <n v="110.5"/>
    <n v="72.7"/>
    <n v="196.5"/>
    <n v="3.3959999999999999"/>
    <n v="18"/>
    <n v="25"/>
    <d v="2009-10-15T00:00:00"/>
    <n v="78.318168130000004"/>
    <n v="103327"/>
  </r>
  <r>
    <n v="1124"/>
    <n v="2"/>
    <x v="3"/>
    <x v="22"/>
    <x v="131"/>
    <n v="33.950000000000003"/>
    <n v="2.8"/>
    <n v="200"/>
    <n v="108.7"/>
    <n v="76.099999999999994"/>
    <n v="192"/>
    <n v="3.5609999999999999"/>
    <n v="18.5"/>
    <n v="22"/>
    <d v="2011-08-09T00:00:00"/>
    <n v="84.565105020000004"/>
    <n v="141610"/>
  </r>
  <r>
    <n v="1052"/>
    <n v="1"/>
    <x v="0"/>
    <x v="24"/>
    <x v="132"/>
    <n v="54.005000000000003"/>
    <n v="4"/>
    <n v="290"/>
    <n v="112.2"/>
    <n v="72"/>
    <n v="196.7"/>
    <n v="3.89"/>
    <n v="22.5"/>
    <n v="22"/>
    <d v="2024-03-29T00:00:00"/>
    <n v="124.44671630000001"/>
    <n v="92262"/>
  </r>
  <r>
    <n v="1383"/>
    <n v="1"/>
    <x v="9"/>
    <x v="16"/>
    <x v="133"/>
    <n v="26.6"/>
    <n v="3.2"/>
    <n v="205"/>
    <n v="106.4"/>
    <n v="70.400000000000006"/>
    <n v="178.2"/>
    <n v="3.8570000000000002"/>
    <n v="21.1"/>
    <n v="19"/>
    <d v="2016-10-09T00:00:00"/>
    <n v="83.602500800000001"/>
    <n v="92162"/>
  </r>
  <r>
    <n v="1357"/>
    <n v="1"/>
    <x v="13"/>
    <x v="26"/>
    <x v="134"/>
    <n v="15.01"/>
    <n v="2.2000000000000002"/>
    <n v="137"/>
    <n v="106.5"/>
    <n v="69"/>
    <n v="190.4"/>
    <n v="2.91"/>
    <n v="13.1"/>
    <n v="28"/>
    <d v="2007-12-04T00:00:00"/>
    <n v="54.819728249999997"/>
    <n v="189028"/>
  </r>
  <r>
    <n v="1480"/>
    <n v="2"/>
    <x v="11"/>
    <x v="10"/>
    <x v="135"/>
    <n v="36.134999999999998"/>
    <n v="4.5999999999999996"/>
    <n v="240"/>
    <n v="119"/>
    <n v="78.7"/>
    <n v="204.6"/>
    <n v="4.8079999999999998"/>
    <n v="26"/>
    <n v="16"/>
    <d v="2025-09-14T00:00:00"/>
    <n v="100.0248023"/>
    <n v="126389"/>
  </r>
  <r>
    <n v="1296"/>
    <n v="1"/>
    <x v="17"/>
    <x v="2"/>
    <x v="136"/>
    <n v="21.315000000000001"/>
    <n v="3.9"/>
    <n v="175"/>
    <n v="109.6"/>
    <n v="78.8"/>
    <n v="192.6"/>
    <n v="4.2450000000000001"/>
    <n v="32"/>
    <n v="15"/>
    <d v="2016-01-06T00:00:00"/>
    <n v="71.135291609999996"/>
    <n v="94409"/>
  </r>
  <r>
    <n v="1340"/>
    <n v="1"/>
    <x v="13"/>
    <x v="25"/>
    <x v="137"/>
    <n v="22.695"/>
    <n v="2.5"/>
    <n v="165"/>
    <n v="103.5"/>
    <n v="67.5"/>
    <n v="185.8"/>
    <n v="3.415"/>
    <n v="16.899999999999999"/>
    <n v="25"/>
    <d v="2008-07-07T00:00:00"/>
    <n v="67.765907600000006"/>
    <n v="233054"/>
  </r>
  <r>
    <n v="1365"/>
    <n v="1"/>
    <x v="1"/>
    <x v="2"/>
    <x v="138"/>
    <n v="69.724999999999994"/>
    <n v="8"/>
    <n v="450"/>
    <n v="96.2"/>
    <n v="75.7"/>
    <n v="176.7"/>
    <n v="3.375"/>
    <n v="19"/>
    <n v="16"/>
    <d v="2016-08-07T00:00:00"/>
    <n v="188.14432300000001"/>
    <n v="260681"/>
  </r>
  <r>
    <n v="1372"/>
    <n v="1"/>
    <x v="15"/>
    <x v="8"/>
    <x v="139"/>
    <n v="11.528"/>
    <n v="2.4"/>
    <n v="142"/>
    <n v="103.3"/>
    <n v="66.5"/>
    <n v="178.7"/>
    <n v="2.58"/>
    <n v="15.1"/>
    <n v="23"/>
    <d v="2012-08-01T00:00:00"/>
    <n v="55.297116580000001"/>
    <n v="145536"/>
  </r>
  <r>
    <n v="1268"/>
    <n v="1"/>
    <x v="14"/>
    <x v="13"/>
    <x v="140"/>
    <n v="38.9"/>
    <n v="2.2999999999999998"/>
    <n v="190"/>
    <n v="94.5"/>
    <n v="67.5"/>
    <n v="157.9"/>
    <n v="3.0550000000000002"/>
    <n v="15.9"/>
    <n v="26"/>
    <d v="2024-01-16T00:00:00"/>
    <n v="82.807361929999999"/>
    <n v="256263"/>
  </r>
  <r>
    <n v="1083"/>
    <n v="2"/>
    <x v="2"/>
    <x v="26"/>
    <x v="141"/>
    <n v="12.535"/>
    <n v="1.9"/>
    <n v="100"/>
    <n v="102.4"/>
    <n v="66.400000000000006"/>
    <n v="180"/>
    <n v="2.367"/>
    <n v="12.1"/>
    <n v="33"/>
    <d v="2025-03-16T00:00:00"/>
    <n v="40.700072419999998"/>
    <n v="121366"/>
  </r>
  <r>
    <n v="1139"/>
    <n v="1"/>
    <x v="0"/>
    <x v="23"/>
    <x v="142"/>
    <n v="22.798999999999999"/>
    <n v="3.3"/>
    <n v="170"/>
    <n v="104.3"/>
    <n v="70.400000000000006"/>
    <n v="178"/>
    <n v="3.8210000000000002"/>
    <n v="19.399999999999999"/>
    <n v="18"/>
    <d v="2019-01-24T00:00:00"/>
    <n v="69.78294434"/>
    <n v="196901"/>
  </r>
  <r>
    <n v="1174"/>
    <n v="1"/>
    <x v="7"/>
    <x v="6"/>
    <x v="143"/>
    <n v="14.999000000000001"/>
    <n v="2.4"/>
    <n v="148"/>
    <n v="106.3"/>
    <n v="71.599999999999994"/>
    <n v="185.4"/>
    <n v="3.0720000000000001"/>
    <n v="17.2"/>
    <n v="25"/>
    <d v="2022-06-14T00:00:00"/>
    <n v="58.758248999999999"/>
    <n v="161021"/>
  </r>
  <r>
    <n v="1158"/>
    <n v="1"/>
    <x v="1"/>
    <x v="6"/>
    <x v="144"/>
    <n v="9.6989999999999998"/>
    <n v="1.5"/>
    <n v="92"/>
    <n v="96.1"/>
    <n v="65.7"/>
    <n v="166.7"/>
    <n v="2.2400000000000002"/>
    <n v="11.9"/>
    <n v="31"/>
    <d v="2013-09-10T00:00:00"/>
    <n v="36.672283579999998"/>
    <n v="57719"/>
  </r>
  <r>
    <n v="1473"/>
    <n v="1"/>
    <x v="18"/>
    <x v="24"/>
    <x v="145"/>
    <n v="31.504999999999999"/>
    <n v="3"/>
    <n v="210"/>
    <n v="105.1"/>
    <n v="70.5"/>
    <n v="190.2"/>
    <n v="3.3730000000000002"/>
    <n v="18.5"/>
    <n v="23"/>
    <d v="2009-07-09T00:00:00"/>
    <n v="87.211001039999999"/>
    <n v="85836"/>
  </r>
  <r>
    <n v="1070"/>
    <n v="2"/>
    <x v="15"/>
    <x v="10"/>
    <x v="146"/>
    <n v="12.07"/>
    <n v="2"/>
    <n v="110"/>
    <n v="98.4"/>
    <n v="67"/>
    <n v="174.7"/>
    <n v="2.468"/>
    <n v="12.7"/>
    <n v="30"/>
    <d v="2011-03-31T00:00:00"/>
    <n v="44.083709460000001"/>
    <n v="229948"/>
  </r>
  <r>
    <n v="1024"/>
    <n v="2"/>
    <x v="3"/>
    <x v="10"/>
    <x v="147"/>
    <n v="12.05"/>
    <n v="2.5"/>
    <n v="119"/>
    <n v="117.5"/>
    <n v="69.400000000000006"/>
    <n v="200.7"/>
    <n v="3.0859999999999999"/>
    <n v="20"/>
    <n v="23"/>
    <d v="2011-01-14T00:00:00"/>
    <n v="47.389531310000002"/>
    <n v="227997"/>
  </r>
  <r>
    <n v="1215"/>
    <n v="1"/>
    <x v="14"/>
    <x v="23"/>
    <x v="148"/>
    <n v="26.399000000000001"/>
    <n v="3.3"/>
    <n v="170"/>
    <n v="112.2"/>
    <n v="74.900000000000006"/>
    <n v="194.8"/>
    <n v="3.9910000000000001"/>
    <n v="20"/>
    <n v="21"/>
    <d v="2025-03-07T00:00:00"/>
    <n v="71.171664129999996"/>
    <n v="231652"/>
  </r>
  <r>
    <n v="1372"/>
    <n v="2"/>
    <x v="5"/>
    <x v="15"/>
    <x v="149"/>
    <n v="18.850000000000001"/>
    <n v="2.4"/>
    <n v="150"/>
    <n v="113.3"/>
    <n v="76.8"/>
    <n v="186.3"/>
    <n v="3.528"/>
    <n v="20"/>
    <n v="24"/>
    <d v="2023-04-24T00:00:00"/>
    <n v="60.951185119999998"/>
    <n v="185542"/>
  </r>
  <r>
    <n v="1177"/>
    <n v="2"/>
    <x v="0"/>
    <x v="10"/>
    <x v="150"/>
    <n v="31.93"/>
    <n v="4"/>
    <n v="210"/>
    <n v="111.6"/>
    <n v="70.2"/>
    <n v="190.7"/>
    <n v="3.8759999999999999"/>
    <n v="21"/>
    <n v="19"/>
    <d v="2022-04-25T00:00:00"/>
    <n v="87.635495779999999"/>
    <n v="189586"/>
  </r>
  <r>
    <n v="1228"/>
    <n v="1"/>
    <x v="13"/>
    <x v="23"/>
    <x v="151"/>
    <n v="26.248999999999999"/>
    <n v="3"/>
    <n v="222"/>
    <n v="108.3"/>
    <n v="70.3"/>
    <n v="190.5"/>
    <n v="3.294"/>
    <n v="18.5"/>
    <n v="25"/>
    <d v="2009-05-06T00:00:00"/>
    <n v="89.427820310000001"/>
    <n v="256016"/>
  </r>
  <r>
    <n v="1054"/>
    <n v="2"/>
    <x v="15"/>
    <x v="11"/>
    <x v="152"/>
    <n v="21.61"/>
    <n v="2.4"/>
    <n v="150"/>
    <n v="104.1"/>
    <n v="68.400000000000006"/>
    <n v="181.9"/>
    <n v="2.9060000000000001"/>
    <n v="15"/>
    <n v="27"/>
    <d v="2010-01-25T00:00:00"/>
    <n v="62.015870300000003"/>
    <n v="280676"/>
  </r>
  <r>
    <n v="1144"/>
    <n v="2"/>
    <x v="10"/>
    <x v="8"/>
    <x v="153"/>
    <n v="17.518000000000001"/>
    <n v="2.2000000000000002"/>
    <n v="133"/>
    <n v="105.2"/>
    <n v="70.099999999999994"/>
    <n v="188.5"/>
    <n v="2.9980000000000002"/>
    <n v="18.5"/>
    <n v="27"/>
    <d v="2018-02-10T00:00:00"/>
    <n v="54.372419649999998"/>
    <n v="285758"/>
  </r>
  <r>
    <n v="1113"/>
    <n v="1"/>
    <x v="18"/>
    <x v="24"/>
    <x v="154"/>
    <n v="46.305"/>
    <n v="4"/>
    <n v="300"/>
    <n v="110.2"/>
    <n v="70.900000000000006"/>
    <n v="189.2"/>
    <n v="3.6930000000000001"/>
    <n v="19.8"/>
    <n v="21"/>
    <d v="2009-11-28T00:00:00"/>
    <n v="125.0133574"/>
    <n v="294792"/>
  </r>
  <r>
    <n v="1005"/>
    <n v="1"/>
    <x v="21"/>
    <x v="16"/>
    <x v="155"/>
    <n v="20.55"/>
    <n v="2"/>
    <n v="146"/>
    <n v="103.2"/>
    <n v="68.900000000000006"/>
    <n v="177.6"/>
    <n v="3.2189999999999999"/>
    <n v="15.3"/>
    <n v="24"/>
    <d v="2013-03-21T00:00:00"/>
    <n v="60.087966620000003"/>
    <n v="618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1475"/>
    <m/>
    <m/>
    <s v="Acme Supply Co"/>
    <s v="1953 Telegraph Rd"/>
    <s v="Saint Joseph"/>
    <x v="0"/>
    <n v="64504"/>
    <s v=" "/>
    <s v="Acme Supply Co"/>
    <s v="1953"/>
    <s v="8165579673"/>
    <s v=""/>
    <s v="diane@cox.net"/>
    <x v="0"/>
    <s v="Not Found"/>
    <s v="Not Found"/>
    <s v=""/>
    <s v="Has No Vehicle"/>
    <s v="Has No Vehicle"/>
    <s v="Has No Vehicle"/>
    <n v="0"/>
    <s v=""/>
    <x v="0"/>
    <x v="0"/>
  </r>
  <r>
    <n v="1352"/>
    <m/>
    <m/>
    <s v="Advantage Martgage Company"/>
    <s v="73 W Barstow Ave"/>
    <s v="Arlington Heights"/>
    <x v="1"/>
    <n v="60004"/>
    <s v=" "/>
    <s v="Advantage Martgage Company"/>
    <s v="73"/>
    <s v="8473532156"/>
    <s v=""/>
    <s v="wacuff@gmail.com"/>
    <x v="1"/>
    <s v="Mountaineer"/>
    <s v="Mercury Mountaineer"/>
    <d v="2016-02-13T00:00:00"/>
    <s v="Has Only One Vehicle"/>
    <s v="Has Only One Vehicle"/>
    <s v="Has Only One Vehicle"/>
    <n v="137028"/>
    <d v="2016-02-13T00:00:00"/>
    <x v="1"/>
    <x v="1"/>
  </r>
  <r>
    <n v="1076"/>
    <s v="Moon"/>
    <s v="Parlato"/>
    <m/>
    <s v="74989 Brandon St"/>
    <s v="Wellsville"/>
    <x v="2"/>
    <n v="14895"/>
    <s v="Moon Parlato"/>
    <s v="Moon Parlato"/>
    <s v="74989"/>
    <s v="5858668313"/>
    <s v="5854984278"/>
    <s v="moon@yahoo.com"/>
    <x v="2"/>
    <s v="F-Series"/>
    <s v="Ford F-Series"/>
    <d v="2005-08-16T00:00:00"/>
    <s v="Park Avenue"/>
    <s v="Buick Park Avenue"/>
    <d v="2011-03-23T00:00:00"/>
    <n v="518924"/>
    <d v="2011-03-23T00:00:00"/>
    <x v="1"/>
    <x v="2"/>
  </r>
  <r>
    <n v="1180"/>
    <m/>
    <m/>
    <s v="Anchorage Museum Of Hist &amp; Art"/>
    <s v="3 State Route 35 S"/>
    <s v="Paramus"/>
    <x v="3"/>
    <n v="7652"/>
    <s v=" "/>
    <s v="Anchorage Museum Of Hist &amp; Art"/>
    <s v="3"/>
    <s v="2019711638"/>
    <s v="2012478925"/>
    <s v="nelida@gmail.com"/>
    <x v="1"/>
    <s v="Intrepid"/>
    <s v="Dodge Intrepid"/>
    <d v="2023-06-02T00:00:00"/>
    <s v="Has Only One Vehicle"/>
    <s v="Has Only One Vehicle"/>
    <s v="Has Only One Vehicle"/>
    <n v="247285"/>
    <d v="2023-06-02T00:00:00"/>
    <x v="2"/>
    <x v="2"/>
  </r>
  <r>
    <n v="1177"/>
    <s v="Joesph"/>
    <s v="Degonia"/>
    <s v="A R Packaging"/>
    <s v="2887 Knowlton St #5435"/>
    <s v="Berkeley"/>
    <x v="4"/>
    <n v="94710"/>
    <s v="Joesph Degonia"/>
    <s v="Joesph Degonia"/>
    <s v="2887"/>
    <s v="5106779785"/>
    <s v="5109425916"/>
    <s v="joesph_degonia@degonia.org"/>
    <x v="2"/>
    <s v="328i"/>
    <s v="BMW 328i"/>
    <d v="2007-01-29T00:00:00"/>
    <s v="Explorer"/>
    <s v="Ford Explorer"/>
    <d v="2022-04-25T00:00:00"/>
    <n v="356504"/>
    <d v="2022-04-25T00:00:00"/>
    <x v="1"/>
    <x v="2"/>
  </r>
  <r>
    <n v="1132"/>
    <s v="Howard"/>
    <s v="Paulas"/>
    <m/>
    <s v="866 34th Ave"/>
    <s v="Denver"/>
    <x v="5"/>
    <n v="80231"/>
    <s v="Howard Paulas"/>
    <s v="Howard Paulas"/>
    <s v="866"/>
    <s v="3036234241"/>
    <s v=""/>
    <s v="hpaulas@gmail.com"/>
    <x v="2"/>
    <s v="Grand Am"/>
    <s v="Pontiac Grand Am"/>
    <d v="2014-11-26T00:00:00"/>
    <s v="4Runner"/>
    <s v="Toyota 4Runner"/>
    <d v="2016-03-07T00:00:00"/>
    <n v="329686"/>
    <d v="2016-03-07T00:00:00"/>
    <x v="1"/>
    <x v="2"/>
  </r>
  <r>
    <n v="1372"/>
    <m/>
    <m/>
    <s v="Baird Kurtz &amp; Dobson"/>
    <s v="82 Winsor St #54"/>
    <s v="Atlanta"/>
    <x v="6"/>
    <n v="30340"/>
    <s v=" "/>
    <s v="Baird Kurtz &amp; Dobson"/>
    <s v="82"/>
    <s v="7708443447"/>
    <s v="7705844119"/>
    <s v="izetta.funnell@hotmail.com"/>
    <x v="2"/>
    <s v="Tacoma"/>
    <s v="Toyota Tacoma"/>
    <d v="2012-08-01T00:00:00"/>
    <s v="Voyager"/>
    <s v="Plymouth Voyager"/>
    <d v="2023-04-24T00:00:00"/>
    <n v="331078"/>
    <d v="2023-04-24T00:00:00"/>
    <x v="2"/>
    <x v="2"/>
  </r>
  <r>
    <n v="1052"/>
    <s v="Lorrie"/>
    <s v="Nestle"/>
    <s v="Ballard Spahr Andrews"/>
    <s v="39 S 7th St"/>
    <s v="Tullahoma"/>
    <x v="7"/>
    <n v="37388"/>
    <s v="Lorrie Nestle"/>
    <s v="Lorrie Nestle"/>
    <s v="39"/>
    <s v="9318756644"/>
    <s v=""/>
    <s v="lnestle@hotmail.com"/>
    <x v="1"/>
    <s v="LS400"/>
    <s v="Lexus LS400"/>
    <d v="2024-03-29T00:00:00"/>
    <s v="Has Only One Vehicle"/>
    <s v="Has Only One Vehicle"/>
    <s v="Has Only One Vehicle"/>
    <n v="92262"/>
    <d v="2024-03-29T00:00:00"/>
    <x v="2"/>
    <x v="3"/>
  </r>
  <r>
    <n v="1174"/>
    <s v="Sylvia"/>
    <s v="Cousey"/>
    <m/>
    <s v="287 Youngstown Warren Rd"/>
    <s v="Hampstead"/>
    <x v="8"/>
    <n v="21074"/>
    <s v="Sylvia Cousey"/>
    <s v="Sylvia Cousey"/>
    <s v="287"/>
    <s v="4102099545"/>
    <s v=""/>
    <s v="sylvia_cousey@cousey.org"/>
    <x v="1"/>
    <s v="Sonata"/>
    <s v="Hyundai Sonata"/>
    <d v="2022-06-14T00:00:00"/>
    <s v="Has Only One Vehicle"/>
    <s v="Has Only One Vehicle"/>
    <s v="Has Only One Vehicle"/>
    <n v="161021"/>
    <d v="2022-06-14T00:00:00"/>
    <x v="1"/>
    <x v="1"/>
  </r>
  <r>
    <n v="1340"/>
    <s v="Sherita"/>
    <s v="Saras"/>
    <s v="Black History Resource Center"/>
    <s v="8 Us Highway 22"/>
    <s v="Colorado Springs"/>
    <x v="5"/>
    <n v="80937"/>
    <s v="Sherita Saras"/>
    <s v="Sherita Saras"/>
    <s v="8"/>
    <s v="7196691664"/>
    <s v="7195479543"/>
    <s v="sherita.saras@cox.net"/>
    <x v="1"/>
    <s v="Outback"/>
    <s v="Subaru Outback"/>
    <d v="2008-07-07T00:00:00"/>
    <s v="Has Only One Vehicle"/>
    <s v="Has Only One Vehicle"/>
    <s v="Has Only One Vehicle"/>
    <n v="233054"/>
    <d v="2008-07-07T00:00:00"/>
    <x v="1"/>
    <x v="2"/>
  </r>
  <r>
    <n v="1244"/>
    <s v="My"/>
    <s v="Rantanen"/>
    <m/>
    <s v="8 Mcarthur Ln"/>
    <s v="Richboro"/>
    <x v="9"/>
    <n v="18954"/>
    <s v="My Rantanen"/>
    <s v="My Rantanen"/>
    <s v="8"/>
    <s v="2154915633"/>
    <s v="2156472158"/>
    <s v="my@hotmail.com"/>
    <x v="1"/>
    <s v="Civic"/>
    <s v="Honda Civic"/>
    <d v="2024-10-21T00:00:00"/>
    <s v="Has Only One Vehicle"/>
    <s v="Has Only One Vehicle"/>
    <s v="Has Only One Vehicle"/>
    <n v="290118"/>
    <d v="2024-10-21T00:00:00"/>
    <x v="2"/>
    <x v="2"/>
  </r>
  <r>
    <n v="1119"/>
    <s v="Scarlet"/>
    <s v="Cartan"/>
    <m/>
    <s v="9390 S Howell Ave"/>
    <s v="Albany"/>
    <x v="6"/>
    <n v="31701"/>
    <s v="Scarlet Cartan"/>
    <s v="Scarlet Cartan"/>
    <s v="9390"/>
    <s v="2297353378"/>
    <s v=""/>
    <s v="scarlet.cartan@yahoo.com"/>
    <x v="2"/>
    <s v="Carrera Cabrio"/>
    <s v="Porsche Carrera Cabrio"/>
    <d v="2018-07-11T00:00:00"/>
    <s v="Beetle"/>
    <s v="Volkswagen Beetle"/>
    <d v="2021-10-20T00:00:00"/>
    <n v="422795"/>
    <d v="2021-10-20T00:00:00"/>
    <x v="1"/>
    <x v="2"/>
  </r>
  <r>
    <n v="1285"/>
    <m/>
    <m/>
    <s v="Bradley Nameplate Corp"/>
    <s v="87 Imperial Ct #79"/>
    <s v="Fargo"/>
    <x v="10"/>
    <n v="58102"/>
    <s v=" "/>
    <s v="Bradley Nameplate Corp"/>
    <s v="87"/>
    <s v="7018982154"/>
    <s v="7014217080"/>
    <s v="lavonda@cox.net"/>
    <x v="1"/>
    <s v="S-Type"/>
    <s v="Jaguar S-Type"/>
    <d v="2022-11-03T00:00:00"/>
    <s v="Has Only One Vehicle"/>
    <s v="Has Only One Vehicle"/>
    <s v="Has Only One Vehicle"/>
    <n v="234341"/>
    <d v="2022-11-03T00:00:00"/>
    <x v="2"/>
    <x v="2"/>
  </r>
  <r>
    <n v="1121"/>
    <m/>
    <m/>
    <s v="Bresler Eitel Framg Gllry Ltd"/>
    <s v="4646 Kaahumanu St"/>
    <s v="Hackensack"/>
    <x v="3"/>
    <n v="7601"/>
    <s v=" "/>
    <s v="Bresler Eitel Framg Gllry Ltd"/>
    <s v="4646"/>
    <s v="2016721553"/>
    <s v=""/>
    <s v="tsmith@aol.com"/>
    <x v="1"/>
    <s v="Ram Pickup"/>
    <s v="Dodge Ram Pickup"/>
    <d v="2024-03-06T00:00:00"/>
    <s v="Has Only One Vehicle"/>
    <s v="Has Only One Vehicle"/>
    <s v="Has Only One Vehicle"/>
    <n v="260003"/>
    <d v="2024-03-06T00:00:00"/>
    <x v="2"/>
    <x v="2"/>
  </r>
  <r>
    <n v="1411"/>
    <s v="Mitzie"/>
    <s v="Hudnall"/>
    <s v="Cangro Transmission Co"/>
    <s v="17 Jersey Ave"/>
    <s v="Englewood"/>
    <x v="5"/>
    <n v="80110"/>
    <s v="Mitzie Hudnall"/>
    <s v="Mitzie Hudnall"/>
    <s v="17"/>
    <s v="3034021940"/>
    <s v="3039977760"/>
    <s v="mitzie_hudnall@yahoo.com"/>
    <x v="1"/>
    <s v="Malibu"/>
    <s v="Chevrolet Malibu"/>
    <d v="2022-03-19T00:00:00"/>
    <s v="Has Only One Vehicle"/>
    <s v="Has Only One Vehicle"/>
    <s v="Has Only One Vehicle"/>
    <n v="148159"/>
    <d v="2022-03-19T00:00:00"/>
    <x v="1"/>
    <x v="1"/>
  </r>
  <r>
    <n v="1466"/>
    <m/>
    <m/>
    <s v="Carriage House Cllsn Rpr Inc"/>
    <s v="35 E Main St #43"/>
    <s v="Elk Grove Village"/>
    <x v="1"/>
    <n v="60007"/>
    <s v=" "/>
    <s v="Carriage House Cllsn Rpr Inc"/>
    <s v="35"/>
    <s v="8475195906"/>
    <s v="8477405304"/>
    <s v="joni_breland@cox.net"/>
    <x v="1"/>
    <s v="3000GT"/>
    <s v="Mitsubishi 3000GT"/>
    <d v="2017-06-29T00:00:00"/>
    <s v="Has Only One Vehicle"/>
    <s v="Has Only One Vehicle"/>
    <s v="Has Only One Vehicle"/>
    <n v="146859"/>
    <d v="2017-06-29T00:00:00"/>
    <x v="1"/>
    <x v="1"/>
  </r>
  <r>
    <n v="1113"/>
    <s v="Jesusa"/>
    <s v="Shin"/>
    <m/>
    <s v="2239 Shawnee Mission Pky"/>
    <s v="Tullahoma"/>
    <x v="7"/>
    <n v="37388"/>
    <s v="Jesusa Shin"/>
    <s v="Jesusa Shin"/>
    <s v="2239"/>
    <s v="9312738709"/>
    <s v="9317391551"/>
    <s v="jshin@shin.com"/>
    <x v="1"/>
    <s v="GS400"/>
    <s v="Lexus GS400"/>
    <d v="2009-11-28T00:00:00"/>
    <s v="Has Only One Vehicle"/>
    <s v="Has Only One Vehicle"/>
    <s v="Has Only One Vehicle"/>
    <n v="294792"/>
    <d v="2009-11-28T00:00:00"/>
    <x v="1"/>
    <x v="2"/>
  </r>
  <r>
    <n v="1032"/>
    <m/>
    <m/>
    <s v="Cascade Realty Advisors Inc"/>
    <s v="366 South Dr"/>
    <s v="Las Cruces"/>
    <x v="11"/>
    <n v="88011"/>
    <s v=" "/>
    <s v="Cascade Realty Advisors Inc"/>
    <s v="366"/>
    <s v="5059773911"/>
    <s v=""/>
    <s v="francine_vocelka@vocelka.com"/>
    <x v="2"/>
    <s v="GTI"/>
    <s v="Volkswagen GTI"/>
    <d v="2010-04-01T00:00:00"/>
    <s v="Carrera Coupe"/>
    <s v="Porsche Carrera Coupe"/>
    <d v="2010-12-21T00:00:00"/>
    <n v="239482"/>
    <d v="2010-12-21T00:00:00"/>
    <x v="1"/>
    <x v="2"/>
  </r>
  <r>
    <n v="1257"/>
    <s v="Deandrea"/>
    <s v="Hughey"/>
    <s v="Century 21 Krall Real Estate"/>
    <s v="33 Lewis Rd #46"/>
    <s v="Burlington"/>
    <x v="12"/>
    <n v="27215"/>
    <s v="Deandrea Hughey"/>
    <s v="Deandrea Hughey"/>
    <s v="33"/>
    <s v="3368227652"/>
    <s v="3364673095"/>
    <s v="deandrea@yahoo.com"/>
    <x v="2"/>
    <s v="RL"/>
    <s v="Acura RL"/>
    <d v="2019-03-10T00:00:00"/>
    <s v="Mustang"/>
    <s v="Ford Mustang"/>
    <d v="2010-01-31T00:00:00"/>
    <n v="272490"/>
    <d v="2019-03-10T00:00:00"/>
    <x v="1"/>
    <x v="2"/>
  </r>
  <r>
    <n v="1006"/>
    <s v="Simona"/>
    <s v="Morasca"/>
    <m/>
    <s v="3 Mcauley Dr"/>
    <s v="Ashland"/>
    <x v="13"/>
    <n v="44805"/>
    <s v="Simona Morasca"/>
    <s v="Simona Morasca"/>
    <s v="3"/>
    <s v="4195032484"/>
    <s v=""/>
    <s v="simona@morasca.com"/>
    <x v="1"/>
    <s v="Lumina"/>
    <s v="Chevrolet Lumina"/>
    <d v="2024-05-24T00:00:00"/>
    <s v="Has Only One Vehicle"/>
    <s v="Has Only One Vehicle"/>
    <s v="Has Only One Vehicle"/>
    <n v="188621"/>
    <d v="2024-05-24T00:00:00"/>
    <x v="2"/>
    <x v="1"/>
  </r>
  <r>
    <n v="1447"/>
    <s v="Cassi"/>
    <s v="Wildfong"/>
    <m/>
    <s v="26849 Jefferson Hwy"/>
    <s v="Rolling Meadows"/>
    <x v="1"/>
    <n v="60008"/>
    <s v="Cassi Wildfong"/>
    <s v="Cassi Wildfong"/>
    <s v="26849"/>
    <s v="8476333216"/>
    <s v="8477559041"/>
    <s v="cassi.wildfong@aol.com"/>
    <x v="1"/>
    <s v="Mirage"/>
    <s v="Mitsubishi Mirage"/>
    <d v="2021-04-23T00:00:00"/>
    <s v="Has Only One Vehicle"/>
    <s v="Has Only One Vehicle"/>
    <s v="Has Only One Vehicle"/>
    <n v="58653"/>
    <d v="2021-04-23T00:00:00"/>
    <x v="1"/>
    <x v="3"/>
  </r>
  <r>
    <n v="1116"/>
    <m/>
    <m/>
    <s v="Comfort Inn"/>
    <s v="55892 Jacksonville Rd"/>
    <s v="Owings Mills"/>
    <x v="8"/>
    <n v="21117"/>
    <s v=" "/>
    <s v="Comfort Inn"/>
    <s v="55892"/>
    <s v="4102249462"/>
    <s v=""/>
    <s v="gkulzer@kulzer.org"/>
    <x v="1"/>
    <s v="Impala"/>
    <s v="Chevrolet Impala"/>
    <d v="2017-06-18T00:00:00"/>
    <s v="Has Only One Vehicle"/>
    <s v="Has Only One Vehicle"/>
    <s v="Has Only One Vehicle"/>
    <n v="82160"/>
    <d v="2017-06-18T00:00:00"/>
    <x v="1"/>
    <x v="3"/>
  </r>
  <r>
    <n v="1085"/>
    <s v="Lettie"/>
    <s v="Isenhower"/>
    <m/>
    <s v="70 W Main St"/>
    <s v="Beachwood"/>
    <x v="13"/>
    <n v="44122"/>
    <s v="Lettie Isenhower"/>
    <s v="Lettie Isenhower"/>
    <s v="70"/>
    <s v="2166577668"/>
    <s v="2167338494"/>
    <s v="lettie_isenhower@yahoo.com"/>
    <x v="1"/>
    <s v="CL500"/>
    <s v="Mercedes-B CL500"/>
    <d v="2023-04-11T00:00:00"/>
    <s v="Has Only One Vehicle"/>
    <s v="Has Only One Vehicle"/>
    <s v="Has Only One Vehicle"/>
    <n v="127350"/>
    <d v="2023-04-11T00:00:00"/>
    <x v="2"/>
    <x v="1"/>
  </r>
  <r>
    <n v="1326"/>
    <m/>
    <m/>
    <s v="Courtyard By Marriott"/>
    <s v="80 Pittsford Victor Rd #9"/>
    <s v="Cleveland"/>
    <x v="13"/>
    <n v="44103"/>
    <s v=" "/>
    <s v="Courtyard By Marriott"/>
    <s v="80"/>
    <s v="2162304892"/>
    <s v="2169375320"/>
    <s v="adelina_nabours@gmail.com"/>
    <x v="1"/>
    <s v="SL-Class"/>
    <s v="Mercedes-B SL-Class"/>
    <d v="2007-03-17T00:00:00"/>
    <s v="Has Only One Vehicle"/>
    <s v="Has Only One Vehicle"/>
    <s v="Has Only One Vehicle"/>
    <n v="232959"/>
    <d v="2007-03-17T00:00:00"/>
    <x v="1"/>
    <x v="2"/>
  </r>
  <r>
    <n v="1422"/>
    <s v="Virgie"/>
    <s v="Kiel"/>
    <m/>
    <s v="76598 Rd  I 95 #1"/>
    <s v="Denver"/>
    <x v="5"/>
    <n v="80216"/>
    <s v="Virgie Kiel"/>
    <s v="Virgie Kiel"/>
    <s v="76598"/>
    <s v="3037767548"/>
    <s v="3038455408"/>
    <s v="vkiel@hotmail.com"/>
    <x v="2"/>
    <s v="Golf"/>
    <s v="Volkswagen Golf"/>
    <d v="2010-01-24T00:00:00"/>
    <s v="Grand Prix"/>
    <s v="Pontiac Grand Prix"/>
    <d v="2009-10-15T00:00:00"/>
    <n v="211410"/>
    <d v="2010-01-24T00:00:00"/>
    <x v="1"/>
    <x v="2"/>
  </r>
  <r>
    <n v="1338"/>
    <s v="Kate"/>
    <s v="Keneipp"/>
    <m/>
    <s v="33 N Michigan Ave"/>
    <s v="Green Bay"/>
    <x v="14"/>
    <n v="54301"/>
    <s v="Kate Keneipp"/>
    <s v="Kate Keneipp"/>
    <s v="33"/>
    <s v="9203536377"/>
    <s v="9203551610"/>
    <s v="kate_keneipp@yahoo.com"/>
    <x v="0"/>
    <s v="Not Found"/>
    <s v="Not Found"/>
    <s v=""/>
    <s v="Has No Vehcile"/>
    <s v="Not Found"/>
    <s v="NF"/>
    <n v="0"/>
    <s v=""/>
    <x v="0"/>
    <x v="0"/>
  </r>
  <r>
    <n v="1385"/>
    <m/>
    <m/>
    <s v="Del Charro Apartments"/>
    <s v="617 Nw 36th Ave"/>
    <s v="Brook Park"/>
    <x v="13"/>
    <n v="44142"/>
    <s v=" "/>
    <s v="Del Charro Apartments"/>
    <s v="617"/>
    <s v="2166006111"/>
    <s v="2168716876"/>
    <s v="galen@yahoo.com"/>
    <x v="1"/>
    <s v="SLK230"/>
    <s v="Mercedes-B SLK230"/>
    <d v="2010-08-06T00:00:00"/>
    <s v="Has Only One Vehicle"/>
    <s v="Has Only One Vehicle"/>
    <s v="Has Only One Vehicle"/>
    <n v="59409"/>
    <d v="2010-08-06T00:00:00"/>
    <x v="1"/>
    <x v="3"/>
  </r>
  <r>
    <n v="1124"/>
    <s v="Devora"/>
    <s v="Perez"/>
    <s v="Desco Equipment Corp"/>
    <s v="72868 Blackington Ave"/>
    <s v="Oakland"/>
    <x v="4"/>
    <n v="94606"/>
    <s v="Devora Perez"/>
    <s v="Devora Perez"/>
    <s v="72868"/>
    <s v="5109553016"/>
    <s v=""/>
    <s v="devora_perez@perez.org"/>
    <x v="2"/>
    <s v="Taurus"/>
    <s v="Ford Taurus"/>
    <d v="2020-12-20T00:00:00"/>
    <s v="A6"/>
    <s v="Audi A6"/>
    <d v="2011-08-09T00:00:00"/>
    <n v="284883"/>
    <d v="2020-12-20T00:00:00"/>
    <x v="1"/>
    <x v="2"/>
  </r>
  <r>
    <n v="1104"/>
    <m/>
    <m/>
    <s v="Di Cristina J &amp; Son"/>
    <s v="170 Wyoming Ave"/>
    <s v="Burnsville"/>
    <x v="15"/>
    <n v="55337"/>
    <s v=" "/>
    <s v="Di Cristina J &amp; Son"/>
    <s v="170"/>
    <s v="9523349408"/>
    <s v="9529389457"/>
    <s v="cgoldammer@cox.net"/>
    <x v="1"/>
    <s v="M-Class"/>
    <s v="Mercedes-B M-Class"/>
    <d v="2021-02-10T00:00:00"/>
    <s v="Has Only One Vehicle"/>
    <s v="Has Only One Vehicle"/>
    <s v="Has Only One Vehicle"/>
    <n v="152140"/>
    <d v="2021-02-10T00:00:00"/>
    <x v="1"/>
    <x v="1"/>
  </r>
  <r>
    <n v="1452"/>
    <s v="Lonna"/>
    <s v="Diestel"/>
    <m/>
    <s v="1482 College Ave"/>
    <s v="Fayetteville"/>
    <x v="12"/>
    <n v="28301"/>
    <s v="Lonna Diestel"/>
    <s v="Lonna Diestel"/>
    <s v="1482"/>
    <s v="9109223672"/>
    <s v="9102007912"/>
    <s v="lonna_diestel@gmail.com"/>
    <x v="1"/>
    <s v="E-Class"/>
    <s v="Mercedes-B E-Class"/>
    <d v="2008-07-12T00:00:00"/>
    <s v="Has Only One Vehicle"/>
    <s v="Has Only One Vehicle"/>
    <s v="Has Only One Vehicle"/>
    <n v="246320"/>
    <d v="2008-07-12T00:00:00"/>
    <x v="1"/>
    <x v="2"/>
  </r>
  <r>
    <n v="1484"/>
    <s v="Janey"/>
    <s v="Gabisi"/>
    <m/>
    <s v="40 Cambridge Ave"/>
    <s v="Madison"/>
    <x v="14"/>
    <n v="53715"/>
    <s v="Janey Gabisi"/>
    <s v="Janey Gabisi"/>
    <s v="40"/>
    <s v="6089677194"/>
    <s v="6085866912"/>
    <s v="jgabisi@hotmail.com"/>
    <x v="2"/>
    <s v="Aurora"/>
    <s v="Oldsmobile Aurora"/>
    <d v="2020-02-18T00:00:00"/>
    <s v="Forester"/>
    <s v="Subaru Forester"/>
    <d v="2011-09-10T00:00:00"/>
    <n v="349278"/>
    <d v="2020-02-18T00:00:00"/>
    <x v="1"/>
    <x v="2"/>
  </r>
  <r>
    <n v="1198"/>
    <m/>
    <m/>
    <s v="Eagle Software Inc"/>
    <s v="5384 Southwyck Blvd"/>
    <s v="Douglasville"/>
    <x v="6"/>
    <n v="30135"/>
    <s v=" "/>
    <s v="Eagle Software Inc"/>
    <s v="5384"/>
    <s v="7705078791"/>
    <s v="7708024003"/>
    <s v="belen_strassner@aol.com"/>
    <x v="2"/>
    <n v="44809"/>
    <s v="Saab 44809"/>
    <d v="2005-11-09T00:00:00"/>
    <s v="S40"/>
    <s v="Volvo S40"/>
    <d v="2021-02-18T00:00:00"/>
    <n v="468246"/>
    <d v="2021-02-18T00:00:00"/>
    <x v="1"/>
    <x v="2"/>
  </r>
  <r>
    <n v="1084"/>
    <s v="Dominque"/>
    <s v="Dickerson"/>
    <s v="E A I Electronic Assocs Inc"/>
    <s v="69 Marquette Ave"/>
    <s v="Hayward"/>
    <x v="4"/>
    <n v="94545"/>
    <s v="Dominque Dickerson"/>
    <s v="Dominque Dickerson"/>
    <s v="69"/>
    <s v="5109933758"/>
    <s v="5109017640"/>
    <s v="dominque.dickerson@dickerson.org"/>
    <x v="2"/>
    <s v="A8"/>
    <s v="Audi A8"/>
    <d v="2009-02-27T00:00:00"/>
    <s v="Focus"/>
    <s v="Ford Focus"/>
    <d v="2021-07-22T00:00:00"/>
    <n v="497396"/>
    <d v="2021-07-22T00:00:00"/>
    <x v="1"/>
    <x v="2"/>
  </r>
  <r>
    <n v="1345"/>
    <s v="Lashaunda"/>
    <s v="Lizama"/>
    <s v="Earnhardt Printing"/>
    <s v="3387 Ryan Dr"/>
    <s v="Hanover"/>
    <x v="8"/>
    <n v="21076"/>
    <s v="Lashaunda Lizama"/>
    <s v="Lashaunda Lizama"/>
    <s v="3387"/>
    <s v="4106782473"/>
    <s v="4109126032"/>
    <s v="llizama@cox.net"/>
    <x v="1"/>
    <s v="Cavalier"/>
    <s v="Chevrolet Cavalier"/>
    <d v="2022-08-17T00:00:00"/>
    <s v="Has Only One Vehicle"/>
    <s v="Has Only One Vehicle"/>
    <s v="Has Only One Vehicle"/>
    <n v="234511"/>
    <d v="2022-08-17T00:00:00"/>
    <x v="1"/>
    <x v="2"/>
  </r>
  <r>
    <n v="1040"/>
    <s v="Kati"/>
    <s v="Rulapaugh"/>
    <s v="Eder Assocs Consltng Engrs Pc"/>
    <s v="6980 Dorsett Rd"/>
    <s v="Abilene"/>
    <x v="16"/>
    <n v="67410"/>
    <s v="Kati Rulapaugh"/>
    <s v="Kati Rulapaugh"/>
    <s v="6980"/>
    <s v="7854637829"/>
    <s v="7852197724"/>
    <s v="kati.rulapaugh@hotmail.com"/>
    <x v="2"/>
    <s v="Montana"/>
    <s v="Pontiac Montana"/>
    <d v="2005-07-22T00:00:00"/>
    <s v="Passat"/>
    <s v="Volkswagen Passat"/>
    <d v="2010-10-30T00:00:00"/>
    <n v="557728"/>
    <d v="2010-10-30T00:00:00"/>
    <x v="1"/>
    <x v="2"/>
  </r>
  <r>
    <n v="1247"/>
    <m/>
    <m/>
    <s v="Edison Supply &amp; Equipment Co"/>
    <s v="9 Vanowen St"/>
    <s v="College Station"/>
    <x v="17"/>
    <n v="77840"/>
    <s v=" "/>
    <s v="Edison Supply &amp; Equipment Co"/>
    <s v="9"/>
    <s v="9797188968"/>
    <s v=""/>
    <s v="mraymo@yahoo.com"/>
    <x v="0"/>
    <s v="Not Found"/>
    <s v="Not Found"/>
    <s v=""/>
    <s v="Has No Vehcile"/>
    <s v="Not Found"/>
    <s v="NF"/>
    <n v="0"/>
    <s v=""/>
    <x v="0"/>
    <x v="0"/>
  </r>
  <r>
    <n v="1158"/>
    <m/>
    <m/>
    <s v="Edward S Katz"/>
    <s v="501 N 19th Ave"/>
    <s v="Cherry Hill"/>
    <x v="3"/>
    <n v="8002"/>
    <s v=" "/>
    <s v="Edward S Katz"/>
    <s v="501"/>
    <s v="8564875412"/>
    <s v="8567023676"/>
    <s v="lizette.stem@aol.com"/>
    <x v="1"/>
    <s v="Accent"/>
    <s v="Hyundai Accent"/>
    <d v="2013-09-10T00:00:00"/>
    <s v="Has Only One Vehicle"/>
    <s v="Has Only One Vehicle"/>
    <s v="Has Only One Vehicle"/>
    <n v="57719"/>
    <d v="2013-09-10T00:00:00"/>
    <x v="1"/>
    <x v="3"/>
  </r>
  <r>
    <n v="1438"/>
    <s v="Caprice"/>
    <s v="Suell"/>
    <m/>
    <s v="90177 N 55th Ave"/>
    <s v="Nashville"/>
    <x v="7"/>
    <n v="37211"/>
    <s v="Caprice Suell"/>
    <s v="Caprice Suell"/>
    <s v="90177"/>
    <s v="6152461824"/>
    <s v=""/>
    <s v="caprice@aol.com"/>
    <x v="2"/>
    <s v="Avalon"/>
    <s v="Toyota Avalon"/>
    <d v="2008-08-31T00:00:00"/>
    <s v="Neon"/>
    <s v="Plymouth Neon"/>
    <d v="2015-04-26T00:00:00"/>
    <n v="288655"/>
    <d v="2015-04-26T00:00:00"/>
    <x v="1"/>
    <x v="2"/>
  </r>
  <r>
    <n v="1137"/>
    <s v="Marti"/>
    <s v="Maybury"/>
    <m/>
    <s v="4 Warehouse Point Rd #7"/>
    <s v="Chicago"/>
    <x v="1"/>
    <n v="60638"/>
    <s v="Marti Maybury"/>
    <s v="Marti Maybury"/>
    <s v="4"/>
    <s v="7737754522"/>
    <s v="7735391058"/>
    <s v="marti.maybury@yahoo.com"/>
    <x v="1"/>
    <s v="Montero Sport"/>
    <s v="Mitsubishi Montero Sport"/>
    <d v="2012-05-18T00:00:00"/>
    <s v="Has Only One Vehicle"/>
    <s v="Has Only One Vehicle"/>
    <s v="Has Only One Vehicle"/>
    <n v="184816"/>
    <d v="2012-05-18T00:00:00"/>
    <x v="1"/>
    <x v="1"/>
  </r>
  <r>
    <n v="1039"/>
    <m/>
    <m/>
    <s v="Fbs Business Finance"/>
    <s v="775 W 17th St"/>
    <s v="San Antonio"/>
    <x v="17"/>
    <n v="78204"/>
    <s v=" "/>
    <s v="Fbs Business Finance"/>
    <s v="775"/>
    <s v="2108129597"/>
    <s v="2103006244"/>
    <s v="valentine_gillian@gmail.com"/>
    <x v="1"/>
    <s v="Dakota"/>
    <s v="Dodge Dakota"/>
    <d v="2021-11-25T00:00:00"/>
    <s v="Has Only One Vehicle"/>
    <s v="Has Only One Vehicle"/>
    <s v="Has Only One Vehicle"/>
    <n v="59025"/>
    <d v="2021-11-25T00:00:00"/>
    <x v="1"/>
    <x v="3"/>
  </r>
  <r>
    <n v="1004"/>
    <s v="Lenna"/>
    <s v="Paprocki"/>
    <s v="Feltz Printing Service"/>
    <s v="639 Main St"/>
    <s v="Anchorage"/>
    <x v="18"/>
    <n v="99501"/>
    <s v="Lenna Paprocki"/>
    <s v="Lenna Paprocki"/>
    <s v="639"/>
    <s v="9073854412"/>
    <s v=""/>
    <s v="lpaprocki@hotmail.com"/>
    <x v="1"/>
    <s v="Seville"/>
    <s v="Cadillac Seville"/>
    <d v="2011-04-29T00:00:00"/>
    <s v="Has Only One Vehicle"/>
    <s v="Has Only One Vehicle"/>
    <s v="Has Only One Vehicle"/>
    <n v="117283"/>
    <d v="2011-04-29T00:00:00"/>
    <x v="1"/>
    <x v="1"/>
  </r>
  <r>
    <n v="1088"/>
    <s v="Lai"/>
    <s v="Gato"/>
    <m/>
    <s v="37 Alabama Ave"/>
    <s v="Evanston"/>
    <x v="1"/>
    <n v="60201"/>
    <s v="Lai Gato"/>
    <s v="Lai Gato"/>
    <s v="37"/>
    <s v="8477287286"/>
    <s v="8479574614"/>
    <s v="lai.gato@gato.org"/>
    <x v="1"/>
    <s v="Montero"/>
    <s v="Mitsubishi Montero"/>
    <d v="2018-01-17T00:00:00"/>
    <s v="Has Only One Vehicle"/>
    <s v="Has Only One Vehicle"/>
    <s v="Has Only One Vehicle"/>
    <n v="101713"/>
    <d v="2018-01-17T00:00:00"/>
    <x v="1"/>
    <x v="1"/>
  </r>
  <r>
    <n v="1024"/>
    <s v="Maryann"/>
    <s v="Royster"/>
    <m/>
    <s v="74 S Westgate St"/>
    <s v="Albany"/>
    <x v="2"/>
    <n v="12204"/>
    <s v="Maryann Royster"/>
    <s v="Maryann Royster"/>
    <s v="74"/>
    <s v="5189667987"/>
    <s v=""/>
    <s v="mroyster@royster.com"/>
    <x v="2"/>
    <s v="Regal"/>
    <s v="Buick Regal"/>
    <d v="2023-09-03T00:00:00"/>
    <s v="Ranger"/>
    <s v="Ford Ranger"/>
    <d v="2011-01-14T00:00:00"/>
    <n v="456490"/>
    <d v="2023-09-03T00:00:00"/>
    <x v="2"/>
    <x v="2"/>
  </r>
  <r>
    <n v="1468"/>
    <m/>
    <m/>
    <s v="Fresno Tile Center Inc"/>
    <s v="21575 S Apple Creek Rd"/>
    <s v="Omaha"/>
    <x v="19"/>
    <n v="68124"/>
    <s v=" "/>
    <s v="Fresno Tile Center Inc"/>
    <s v="21575"/>
    <s v="4028965943"/>
    <s v=""/>
    <s v="colette.kardas@yahoo.com"/>
    <x v="2"/>
    <s v="SL"/>
    <s v="Saturn SL"/>
    <d v="2016-08-16T00:00:00"/>
    <s v="S70"/>
    <s v="Volvo S70"/>
    <d v="2014-11-24T00:00:00"/>
    <n v="322944"/>
    <d v="2016-08-16T00:00:00"/>
    <x v="1"/>
    <x v="2"/>
  </r>
  <r>
    <n v="1081"/>
    <m/>
    <m/>
    <s v="Garrison Ind"/>
    <s v="31 Douglas Blvd #950"/>
    <s v="Clovis"/>
    <x v="11"/>
    <n v="88101"/>
    <s v=" "/>
    <s v="Garrison Ind"/>
    <s v="31"/>
    <s v="5059758559"/>
    <s v="5059501763"/>
    <s v="devorah@hotmail.com"/>
    <x v="1"/>
    <s v="S-Class"/>
    <s v="Mercedes-B S-Class"/>
    <d v="2023-06-13T00:00:00"/>
    <s v="Has Only One Vehicle"/>
    <s v="Has Only One Vehicle"/>
    <s v="Has Only One Vehicle"/>
    <n v="252177"/>
    <d v="2023-06-13T00:00:00"/>
    <x v="2"/>
    <x v="2"/>
  </r>
  <r>
    <n v="1339"/>
    <s v="Kaitlyn"/>
    <s v="Ogg"/>
    <m/>
    <s v="2 S Biscayne Blvd"/>
    <s v="Baltimore"/>
    <x v="8"/>
    <n v="21230"/>
    <s v="Kaitlyn Ogg"/>
    <s v="Kaitlyn Ogg"/>
    <s v="2"/>
    <s v="4106654903"/>
    <s v="4107733862"/>
    <s v="kaitlyn.ogg@gmail.com"/>
    <x v="1"/>
    <s v="Concorde"/>
    <s v="Chrysler Concorde"/>
    <d v="2007-06-06T00:00:00"/>
    <s v="Has Only One Vehicle"/>
    <s v="Has Only One Vehicle"/>
    <s v="Has Only One Vehicle"/>
    <n v="145013"/>
    <d v="2007-06-06T00:00:00"/>
    <x v="1"/>
    <x v="1"/>
  </r>
  <r>
    <n v="1310"/>
    <m/>
    <m/>
    <s v="General Foam Corporation"/>
    <s v="596 Santa Maria Ave #7913"/>
    <s v="Mesquite"/>
    <x v="17"/>
    <n v="75150"/>
    <s v=" "/>
    <s v="General Foam Corporation"/>
    <s v="596"/>
    <s v="9724197946"/>
    <s v=""/>
    <s v="amie.perigo@yahoo.com"/>
    <x v="1"/>
    <s v="Altima"/>
    <s v="Nissan Altima"/>
    <d v="2021-08-02T00:00:00"/>
    <s v="Has Only One Vehicle"/>
    <s v="Has Only One Vehicle"/>
    <s v="Has Only One Vehicle"/>
    <n v="195064"/>
    <d v="2021-08-02T00:00:00"/>
    <x v="1"/>
    <x v="1"/>
  </r>
  <r>
    <n v="1286"/>
    <s v="Junita"/>
    <s v="Stoltzman"/>
    <s v="Geonex Martel Inc"/>
    <s v="94 W Dodge Rd"/>
    <s v="Carson City"/>
    <x v="20"/>
    <n v="89701"/>
    <s v="Junita Stoltzman"/>
    <s v="Junita Stoltzman"/>
    <s v="94"/>
    <s v="7756389963"/>
    <s v="7755781214"/>
    <s v="junita@aol.com"/>
    <x v="1"/>
    <s v="I30"/>
    <s v="Infiniti I30"/>
    <d v="2010-04-15T00:00:00"/>
    <s v="Has Only One Vehicle"/>
    <s v="Has Only One Vehicle"/>
    <s v="Has Only One Vehicle"/>
    <n v="199222"/>
    <d v="2010-04-15T00:00:00"/>
    <x v="1"/>
    <x v="1"/>
  </r>
  <r>
    <n v="1064"/>
    <m/>
    <m/>
    <s v="George Jessop Carter Jewelers"/>
    <s v="2664 Lewis Rd"/>
    <s v="Littleton"/>
    <x v="5"/>
    <n v="80126"/>
    <s v=" "/>
    <s v="George Jessop Carter Jewelers"/>
    <s v="2664"/>
    <s v="3037247371"/>
    <s v=""/>
    <s v="carmelina_lindall@lindall.com"/>
    <x v="2"/>
    <s v="V40"/>
    <s v="Volvo V40"/>
    <d v="2015-09-21T00:00:00"/>
    <n v="44807"/>
    <s v="Saab 44807"/>
    <d v="2014-06-12T00:00:00"/>
    <n v="354965"/>
    <d v="2015-09-21T00:00:00"/>
    <x v="1"/>
    <x v="2"/>
  </r>
  <r>
    <n v="1343"/>
    <m/>
    <m/>
    <s v="Goeman Wood Products Inc"/>
    <s v="8139 I Hwy 10 #92"/>
    <s v="New Bedford"/>
    <x v="21"/>
    <n v="2745"/>
    <s v=" "/>
    <s v="Goeman Wood Products Inc"/>
    <s v="8139"/>
    <s v="5088559887"/>
    <s v="5088977916"/>
    <s v="nobuko.halsey@yahoo.com"/>
    <x v="0"/>
    <s v="Not Found"/>
    <s v="Not Found"/>
    <s v=""/>
    <s v="Has No Vehcile"/>
    <s v="Not Found"/>
    <s v="NF"/>
    <n v="0"/>
    <s v=""/>
    <x v="0"/>
    <x v="0"/>
  </r>
  <r>
    <n v="1181"/>
    <s v="Marguerita"/>
    <s v="Hiatt"/>
    <m/>
    <s v="82 N Highway 67"/>
    <s v="Oakley"/>
    <x v="4"/>
    <n v="94561"/>
    <s v="Marguerita Hiatt"/>
    <s v="Marguerita Hiatt"/>
    <s v="82"/>
    <s v="9256347158"/>
    <s v="9255418521"/>
    <s v="marguerita.hiatt@gmail.com"/>
    <x v="1"/>
    <s v="Continental"/>
    <s v="Lincoln Continental"/>
    <d v="2020-08-03T00:00:00"/>
    <s v="Has Only One Vehicle"/>
    <s v="Has Only One Vehicle"/>
    <s v="Has Only One Vehicle"/>
    <n v="54105"/>
    <d v="2020-08-03T00:00:00"/>
    <x v="1"/>
    <x v="3"/>
  </r>
  <r>
    <n v="1314"/>
    <m/>
    <m/>
    <s v="H A C Farm Lines Co Optv Assoc"/>
    <s v="2845 Boulder Crescent St"/>
    <s v="Cleveland"/>
    <x v="13"/>
    <n v="44103"/>
    <s v=" "/>
    <s v="H A C Farm Lines Co Optv Assoc"/>
    <s v="2845"/>
    <s v="2169233715"/>
    <s v="2162709653"/>
    <s v="kattie@vonasek.org"/>
    <x v="1"/>
    <s v="CLK Coupe"/>
    <s v="Mercedes-B CLK Coupe"/>
    <d v="2009-07-08T00:00:00"/>
    <s v="Has Only One Vehicle"/>
    <s v="Has Only One Vehicle"/>
    <s v="Has Only One Vehicle"/>
    <n v="83504"/>
    <d v="2009-07-08T00:00:00"/>
    <x v="1"/>
    <x v="3"/>
  </r>
  <r>
    <n v="1417"/>
    <m/>
    <m/>
    <s v="Harris Corporation"/>
    <s v="4 Iwaena St"/>
    <s v="Baltimore"/>
    <x v="8"/>
    <n v="21202"/>
    <s v=" "/>
    <s v="Harris Corporation"/>
    <s v="4"/>
    <s v="4108907866"/>
    <s v="4104294888"/>
    <s v="eden_jayson@yahoo.com"/>
    <x v="1"/>
    <s v="Sebring Coupe"/>
    <s v="Chrysler Sebring Coupe"/>
    <d v="2009-01-16T00:00:00"/>
    <s v="Has Only One Vehicle"/>
    <s v="Has Only One Vehicle"/>
    <s v="Has Only One Vehicle"/>
    <n v="105039"/>
    <d v="2009-01-16T00:00:00"/>
    <x v="1"/>
    <x v="1"/>
  </r>
  <r>
    <n v="1332"/>
    <s v="Kirk"/>
    <s v="Herritt"/>
    <m/>
    <s v="88 15th Ave Ne"/>
    <s v="Vestal"/>
    <x v="2"/>
    <n v="13850"/>
    <s v="Kirk Herritt"/>
    <s v="Kirk Herritt"/>
    <s v="88"/>
    <s v="6074073716"/>
    <s v="6073507690"/>
    <s v="kirk.herritt@aol.com"/>
    <x v="0"/>
    <s v="Not Found"/>
    <s v="Not Found"/>
    <s v=""/>
    <s v="Has No Vehcile"/>
    <s v="Not Found"/>
    <s v="NF"/>
    <n v="0"/>
    <s v=""/>
    <x v="0"/>
    <x v="0"/>
  </r>
  <r>
    <n v="1067"/>
    <s v="Penney"/>
    <s v="Weight"/>
    <s v="Hawaiian King Hotel"/>
    <s v="18 Fountain St"/>
    <s v="Anchorage"/>
    <x v="18"/>
    <n v="99515"/>
    <s v="Penney Weight"/>
    <s v="Penney Weight"/>
    <s v="18"/>
    <s v="9077979628"/>
    <s v=""/>
    <s v="penney_weight@aol.com"/>
    <x v="1"/>
    <s v="Eldorado"/>
    <s v="Cadillac Eldorado"/>
    <d v="2007-11-27T00:00:00"/>
    <s v="Has Only One Vehicle"/>
    <s v="Has Only One Vehicle"/>
    <s v="Has Only One Vehicle"/>
    <n v="155361"/>
    <d v="2007-11-27T00:00:00"/>
    <x v="1"/>
    <x v="1"/>
  </r>
  <r>
    <n v="1323"/>
    <s v="Lorean"/>
    <s v="Martabano"/>
    <m/>
    <s v="85092 Southern Blvd"/>
    <s v="San Antonio"/>
    <x v="17"/>
    <n v="78204"/>
    <s v="Lorean Martabano"/>
    <s v="Lorean Martabano"/>
    <s v="85092"/>
    <s v="2108564979"/>
    <s v="2106342447"/>
    <s v="lorean.martabano@hotmail.com"/>
    <x v="1"/>
    <s v="Ram Van"/>
    <s v="Dodge Ram Van"/>
    <d v="2024-07-26T00:00:00"/>
    <s v="Has Only One Vehicle"/>
    <s v="Has Only One Vehicle"/>
    <s v="Has Only One Vehicle"/>
    <n v="99624"/>
    <d v="2024-07-26T00:00:00"/>
    <x v="2"/>
    <x v="3"/>
  </r>
  <r>
    <n v="1074"/>
    <m/>
    <m/>
    <s v="H Lee Leonard Attorney At Law"/>
    <s v="20932 Hedley St"/>
    <s v="Concord"/>
    <x v="4"/>
    <n v="94520"/>
    <s v=" "/>
    <s v="H Lee Leonard Attorney At Law"/>
    <s v="20932"/>
    <s v="9256473298"/>
    <s v="9255227798"/>
    <s v="micaela_rhymes@gmail.com"/>
    <x v="1"/>
    <s v="Town car"/>
    <s v="Lincoln Town car"/>
    <d v="2011-06-04T00:00:00"/>
    <s v="Has Only One Vehicle"/>
    <s v="Has Only One Vehicle"/>
    <s v="Has Only One Vehicle"/>
    <n v="232187"/>
    <d v="2011-06-04T00:00:00"/>
    <x v="1"/>
    <x v="2"/>
  </r>
  <r>
    <n v="1134"/>
    <m/>
    <m/>
    <s v="Honey Bee Breeding Genetics &amp;"/>
    <s v="9387 Charcot Ave"/>
    <s v="Absecon"/>
    <x v="3"/>
    <n v="8201"/>
    <s v=" "/>
    <s v="Honey Bee Breeding Genetics &amp;"/>
    <s v="9387"/>
    <s v="6095243586"/>
    <s v="6092348376"/>
    <s v="thurman.manno@yahoo.com"/>
    <x v="1"/>
    <s v="Prizm"/>
    <s v="Chevrolet Prizm"/>
    <d v="2015-09-11T00:00:00"/>
    <s v="Has Only One Vehicle"/>
    <s v="Has Only One Vehicle"/>
    <s v="Has Only One Vehicle"/>
    <n v="86300"/>
    <d v="2015-09-11T00:00:00"/>
    <x v="1"/>
    <x v="3"/>
  </r>
  <r>
    <n v="1489"/>
    <m/>
    <m/>
    <s v="Icn Pharmaceuticals Inc"/>
    <s v="3338 A Lockport Pl #6"/>
    <s v="Margate City"/>
    <x v="3"/>
    <n v="8402"/>
    <s v=" "/>
    <s v="Icn Pharmaceuticals Inc"/>
    <s v="3338"/>
    <s v="6093733332"/>
    <s v=""/>
    <s v="catalina@hotmail.com"/>
    <x v="1"/>
    <s v="Camaro"/>
    <s v="Chevrolet Camaro"/>
    <d v="2016-10-23T00:00:00"/>
    <s v="Has Only One Vehicle"/>
    <s v="Has Only One Vehicle"/>
    <s v="Has Only One Vehicle"/>
    <n v="298862"/>
    <d v="2016-10-23T00:00:00"/>
    <x v="1"/>
    <x v="2"/>
  </r>
  <r>
    <n v="1023"/>
    <s v="Willard"/>
    <s v="Kolmetz"/>
    <m/>
    <s v="618 W Yakima Ave"/>
    <s v="Irving"/>
    <x v="17"/>
    <n v="75062"/>
    <s v="Willard Kolmetz"/>
    <s v="Willard Kolmetz"/>
    <s v="618"/>
    <s v="9723039197"/>
    <s v=""/>
    <s v="willard@hotmail.com"/>
    <x v="1"/>
    <s v="Cutlass"/>
    <s v="Oldsmobile Cutlass"/>
    <d v="2006-05-31T00:00:00"/>
    <s v="Has Only One Vehicle"/>
    <s v="Has Only One Vehicle"/>
    <s v="Has Only One Vehicle"/>
    <n v="232945"/>
    <d v="2006-05-31T00:00:00"/>
    <x v="1"/>
    <x v="2"/>
  </r>
  <r>
    <n v="1496"/>
    <s v="Brittni"/>
    <s v="Gillaspie"/>
    <s v="Inner Label"/>
    <s v="67 Rv Cent"/>
    <s v="Boise"/>
    <x v="22"/>
    <n v="83709"/>
    <s v="Brittni Gillaspie"/>
    <s v="Brittni Gillaspie"/>
    <s v="67"/>
    <s v="2087091235"/>
    <s v=""/>
    <s v="bgillaspie@gillaspie.com"/>
    <x v="2"/>
    <s v="Integra"/>
    <s v="Acura Integra"/>
    <d v="2008-02-02T00:00:00"/>
    <s v="Durango"/>
    <s v="Dodge Durango"/>
    <d v="2016-06-27T00:00:00"/>
    <n v="417525"/>
    <d v="2016-06-27T00:00:00"/>
    <x v="1"/>
    <x v="2"/>
  </r>
  <r>
    <n v="1280"/>
    <m/>
    <m/>
    <s v="Italian Express Franchise Corp"/>
    <s v="5 Green Pond Rd #4"/>
    <s v="Southampton"/>
    <x v="9"/>
    <n v="18966"/>
    <s v=" "/>
    <s v="Italian Express Franchise Corp"/>
    <s v="5"/>
    <s v="2159798776"/>
    <s v=""/>
    <s v="garry_keetch@hotmail.com"/>
    <x v="0"/>
    <s v="Not Found"/>
    <s v="Not Found"/>
    <s v=""/>
    <s v="Has No Vehcile"/>
    <s v="Not Found"/>
    <s v="NF"/>
    <n v="0"/>
    <s v=""/>
    <x v="0"/>
    <x v="0"/>
  </r>
  <r>
    <n v="1416"/>
    <m/>
    <m/>
    <s v="Jackson Millwork Co"/>
    <s v="39 Franklin Ave"/>
    <s v="Richland"/>
    <x v="23"/>
    <n v="99352"/>
    <s v=" "/>
    <s v="Jackson Millwork Co"/>
    <s v="39"/>
    <s v="5097555393"/>
    <s v=""/>
    <s v="ettie.hoopengardner@hotmail.com"/>
    <x v="1"/>
    <s v="Town &amp; Country"/>
    <s v="Chrysler Town &amp; Country"/>
    <d v="2016-07-13T00:00:00"/>
    <s v="Has Only One Vehicle"/>
    <s v="Has Only One Vehicle"/>
    <s v="Has Only One Vehicle"/>
    <n v="257947"/>
    <d v="2016-07-13T00:00:00"/>
    <x v="1"/>
    <x v="2"/>
  </r>
  <r>
    <n v="1215"/>
    <m/>
    <m/>
    <s v="Jets Cybernetics"/>
    <s v="99586 Main St"/>
    <s v="Dallas"/>
    <x v="17"/>
    <n v="75207"/>
    <s v=" "/>
    <s v="Jets Cybernetics"/>
    <s v="99586"/>
    <s v="2144282285"/>
    <s v="2145291949"/>
    <s v="frederica_blunk@gmail.com"/>
    <x v="1"/>
    <s v="Quest"/>
    <s v="Nissan Quest"/>
    <d v="2025-03-07T00:00:00"/>
    <s v="Has Only One Vehicle"/>
    <s v="Has Only One Vehicle"/>
    <s v="Has Only One Vehicle"/>
    <n v="231652"/>
    <d v="2025-03-07T00:00:00"/>
    <x v="2"/>
    <x v="2"/>
  </r>
  <r>
    <n v="1270"/>
    <m/>
    <m/>
    <s v="Feltz Printing Service"/>
    <s v="77 Massillon Rd #822"/>
    <s v="Satellite Beach"/>
    <x v="24"/>
    <n v="32937"/>
    <s v=" "/>
    <s v="Feltz Printing Service"/>
    <s v="77"/>
    <s v="3215185938"/>
    <s v="3215972159"/>
    <s v="jzurcher@zurcher.org"/>
    <x v="0"/>
    <s v="Not Found"/>
    <s v="Not Found"/>
    <s v=""/>
    <s v="Has No Vehcile"/>
    <s v="Not Found"/>
    <s v="NF"/>
    <n v="0"/>
    <s v=""/>
    <x v="0"/>
    <x v="0"/>
  </r>
  <r>
    <n v="1378"/>
    <s v="Jaclyn"/>
    <s v="Bachman"/>
    <s v="Judah Caster &amp; Wheel Co"/>
    <s v="721 Interstate 45 S"/>
    <s v="Colorado Springs"/>
    <x v="5"/>
    <n v="80919"/>
    <s v="Jaclyn Bachman"/>
    <s v="Jaclyn Bachman"/>
    <s v="721"/>
    <s v="7198533600"/>
    <s v="7192232074"/>
    <s v="jaclyn@aol.com"/>
    <x v="2"/>
    <s v="LW"/>
    <s v="Saturn LW"/>
    <d v="2017-08-05T00:00:00"/>
    <s v="S80"/>
    <s v="Volvo S80"/>
    <d v="2018-11-14T00:00:00"/>
    <n v="244681"/>
    <d v="2018-11-14T00:00:00"/>
    <x v="1"/>
    <x v="2"/>
  </r>
  <r>
    <n v="1112"/>
    <m/>
    <m/>
    <s v="Juno Chefs Incorporated"/>
    <s v="2 Se 3rd Ave"/>
    <s v="Mesquite"/>
    <x v="17"/>
    <n v="75149"/>
    <s v=" "/>
    <s v="Juno Chefs Incorporated"/>
    <s v="2"/>
    <s v="9726663413"/>
    <s v="9727424000"/>
    <s v="sue@aol.com"/>
    <x v="1"/>
    <s v="Frontier"/>
    <s v="Nissan Frontier"/>
    <d v="2010-08-27T00:00:00"/>
    <s v="Has Only One Vehicle"/>
    <s v="Has Only One Vehicle"/>
    <s v="Has Only One Vehicle"/>
    <n v="98219"/>
    <d v="2010-08-27T00:00:00"/>
    <x v="1"/>
    <x v="3"/>
  </r>
  <r>
    <n v="1199"/>
    <m/>
    <m/>
    <s v="Juvenile &amp; Adult Super"/>
    <s v="97 Airport Loop Dr"/>
    <s v="Jacksonville"/>
    <x v="24"/>
    <n v="32216"/>
    <s v=" "/>
    <s v="Juvenile &amp; Adult Super"/>
    <s v="97"/>
    <s v="9042353633"/>
    <s v="9046274341"/>
    <s v="gracia@melnyk.com"/>
    <x v="2"/>
    <s v="C70"/>
    <s v="Volvo C70"/>
    <d v="2020-04-26T00:00:00"/>
    <s v="SW"/>
    <s v="Saturn SW"/>
    <d v="2022-01-15T00:00:00"/>
    <n v="296487"/>
    <d v="2022-01-15T00:00:00"/>
    <x v="1"/>
    <x v="2"/>
  </r>
  <r>
    <n v="1217"/>
    <s v="Freeman"/>
    <s v="Gochal"/>
    <m/>
    <s v="383 Gunderman Rd #197"/>
    <s v="Coatesville"/>
    <x v="9"/>
    <n v="19320"/>
    <s v="Freeman Gochal"/>
    <s v="Freeman Gochal"/>
    <s v="383"/>
    <s v="6104763501"/>
    <s v="6107522683"/>
    <s v="freeman_gochal@aol.com"/>
    <x v="1"/>
    <s v="Cherokee"/>
    <s v="Jeep Cherokee"/>
    <d v="2019-10-05T00:00:00"/>
    <s v="Has Only One Vehicle"/>
    <s v="Has Only One Vehicle"/>
    <s v="Has Only One Vehicle"/>
    <n v="86076"/>
    <d v="2019-10-05T00:00:00"/>
    <x v="1"/>
    <x v="3"/>
  </r>
  <r>
    <n v="1010"/>
    <s v="Kris"/>
    <s v="Marrier"/>
    <m/>
    <s v="228 Runamuck Pl #2808"/>
    <s v="Baltimore"/>
    <x v="8"/>
    <n v="21224"/>
    <s v="Kris Marrier"/>
    <s v="Kris Marrier"/>
    <s v="228"/>
    <s v="4106558723"/>
    <s v=""/>
    <s v="kris@gmail.com"/>
    <x v="1"/>
    <s v="Cirrus"/>
    <s v="Chrysler Cirrus"/>
    <d v="2016-10-06T00:00:00"/>
    <s v="Has Only One Vehicle"/>
    <s v="Has Only One Vehicle"/>
    <s v="Has Only One Vehicle"/>
    <n v="246544"/>
    <d v="2016-10-06T00:00:00"/>
    <x v="1"/>
    <x v="2"/>
  </r>
  <r>
    <n v="1049"/>
    <m/>
    <m/>
    <s v="Knights Inn"/>
    <s v="762 S Main St"/>
    <s v="Madison"/>
    <x v="14"/>
    <n v="53711"/>
    <s v=" "/>
    <s v="Knights Inn"/>
    <s v="762"/>
    <s v="6083367444"/>
    <s v="6086587940"/>
    <s v="emerson.bowley@bowley.org"/>
    <x v="1"/>
    <s v="Alero"/>
    <s v="Oldsmobile Alero"/>
    <d v="2019-10-20T00:00:00"/>
    <s v="Has Only One Vehicle"/>
    <s v="Has Only One Vehicle"/>
    <s v="Has Only One Vehicle"/>
    <n v="225246"/>
    <d v="2019-10-20T00:00:00"/>
    <x v="1"/>
    <x v="2"/>
  </r>
  <r>
    <n v="1033"/>
    <m/>
    <m/>
    <s v="Knights Inn"/>
    <s v="45 E Liberty St"/>
    <s v="Ridgefield Park"/>
    <x v="3"/>
    <n v="7660"/>
    <s v=" "/>
    <s v="Knights Inn"/>
    <s v="45"/>
    <s v="2017096245"/>
    <s v="2013879093"/>
    <s v="ernie_stenseth@aol.com"/>
    <x v="1"/>
    <s v="Stratus"/>
    <s v="Dodge Stratus"/>
    <d v="2010-10-31T00:00:00"/>
    <s v="Has Only One Vehicle"/>
    <s v="Has Only One Vehicle"/>
    <s v="Has Only One Vehicle"/>
    <n v="49336"/>
    <d v="2010-10-31T00:00:00"/>
    <x v="1"/>
    <x v="3"/>
  </r>
  <r>
    <n v="1166"/>
    <s v="Dorthy"/>
    <s v="Hidvegi"/>
    <s v="Kwik Kopy Printing"/>
    <s v="9635 S Main St"/>
    <s v="Boise"/>
    <x v="22"/>
    <n v="83704"/>
    <s v="Dorthy Hidvegi"/>
    <s v="Dorthy Hidvegi"/>
    <s v="9635"/>
    <s v="2086492373"/>
    <s v="2086903315"/>
    <s v="dhidvegi@yahoo.com"/>
    <x v="2"/>
    <s v="Caravan"/>
    <s v="Dodge Caravan"/>
    <d v="2018-09-01T00:00:00"/>
    <s v="TL"/>
    <s v="Acura TL"/>
    <d v="2015-06-03T00:00:00"/>
    <n v="299324"/>
    <d v="2018-09-01T00:00:00"/>
    <x v="1"/>
    <x v="2"/>
  </r>
  <r>
    <n v="1494"/>
    <m/>
    <m/>
    <s v="Kwikprint"/>
    <s v="9 Front St"/>
    <s v="Washington"/>
    <x v="25"/>
    <n v="20001"/>
    <s v=" "/>
    <s v="Kwikprint"/>
    <s v="9"/>
    <s v="2026467516"/>
    <s v="2022766826"/>
    <s v="alesia_hixenbaugh@hixenbaugh.org"/>
    <x v="2"/>
    <s v="Boxter"/>
    <s v="Porsche Boxter"/>
    <d v="2025-02-19T00:00:00"/>
    <s v="Cabrio"/>
    <s v="Volkswagen Cabrio"/>
    <d v="2005-05-31T00:00:00"/>
    <n v="323095"/>
    <d v="2025-02-19T00:00:00"/>
    <x v="2"/>
    <x v="2"/>
  </r>
  <r>
    <n v="1268"/>
    <m/>
    <m/>
    <s v="Larkfield Photo"/>
    <s v="944 Gaither Dr"/>
    <s v="Strongsville"/>
    <x v="13"/>
    <n v="44136"/>
    <s v=" "/>
    <s v="Larkfield Photo"/>
    <s v="944"/>
    <s v="4409895826"/>
    <s v="4403272093"/>
    <s v="buddy.cloney@yahoo.com"/>
    <x v="1"/>
    <s v="SLK"/>
    <s v="Mercedes-B SLK"/>
    <d v="2024-01-16T00:00:00"/>
    <s v="Has Only One Vehicle"/>
    <s v="Has Only One Vehicle"/>
    <s v="Has Only One Vehicle"/>
    <n v="256263"/>
    <d v="2024-01-16T00:00:00"/>
    <x v="2"/>
    <x v="2"/>
  </r>
  <r>
    <n v="1249"/>
    <m/>
    <m/>
    <s v="Linguistic Systems Inc"/>
    <s v="506 S Hacienda Dr"/>
    <s v="Atlantic City"/>
    <x v="3"/>
    <n v="8401"/>
    <s v=" "/>
    <s v="Linguistic Systems Inc"/>
    <s v="506"/>
    <s v="6092285265"/>
    <s v="6098547156"/>
    <s v="an_fritz@hotmail.com"/>
    <x v="1"/>
    <s v="Monte Carlo"/>
    <s v="Chevrolet Monte Carlo"/>
    <d v="2024-12-22T00:00:00"/>
    <s v="Has Only One Vehicle"/>
    <s v="Has Only One Vehicle"/>
    <s v="Has Only One Vehicle"/>
    <n v="53528"/>
    <d v="2024-12-22T00:00:00"/>
    <x v="2"/>
    <x v="3"/>
  </r>
  <r>
    <n v="1463"/>
    <s v="Izetta"/>
    <s v="Dewar"/>
    <m/>
    <s v="2 W Scyene Rd #3"/>
    <s v="Baltimore"/>
    <x v="8"/>
    <n v="21217"/>
    <s v="Izetta Dewar"/>
    <s v="Izetta Dewar"/>
    <s v="2"/>
    <s v="4104731708"/>
    <s v="4105227621"/>
    <s v="idewar@dewar.com"/>
    <x v="1"/>
    <s v="Sebring Conv."/>
    <s v="Chrysler Sebring Conv."/>
    <d v="2023-11-17T00:00:00"/>
    <s v="Has Only One Vehicle"/>
    <s v="Has Only One Vehicle"/>
    <s v="Has Only One Vehicle"/>
    <n v="94663"/>
    <d v="2023-11-17T00:00:00"/>
    <x v="2"/>
    <x v="3"/>
  </r>
  <r>
    <n v="1228"/>
    <m/>
    <m/>
    <s v="Little Sheet Metal Co"/>
    <s v="75684 S Withlapopka Dr #32"/>
    <s v="Dallas"/>
    <x v="17"/>
    <n v="75227"/>
    <s v=" "/>
    <s v="Little Sheet Metal Co"/>
    <s v="75684"/>
    <s v="2142891973"/>
    <s v="2147856750"/>
    <s v="earleen_mai@cox.net"/>
    <x v="1"/>
    <s v="Maxima"/>
    <s v="Nissan Maxima"/>
    <d v="2009-05-06T00:00:00"/>
    <s v="Has Only One Vehicle"/>
    <s v="Has Only One Vehicle"/>
    <s v="Has Only One Vehicle"/>
    <n v="256016"/>
    <d v="2009-05-06T00:00:00"/>
    <x v="1"/>
    <x v="2"/>
  </r>
  <r>
    <n v="1336"/>
    <m/>
    <m/>
    <s v="Local Office"/>
    <s v="4 Carroll St"/>
    <s v="North Attleboro"/>
    <x v="21"/>
    <n v="2760"/>
    <s v=" "/>
    <s v="Local Office"/>
    <s v="4"/>
    <s v="5089424186"/>
    <s v=""/>
    <s v="corinne@loder.org"/>
    <x v="0"/>
    <s v="Not Found"/>
    <s v="Not Found"/>
    <s v=""/>
    <s v="Has No Vehcile"/>
    <s v="Not Found"/>
    <s v="NF"/>
    <n v="0"/>
    <s v=""/>
    <x v="0"/>
    <x v="0"/>
  </r>
  <r>
    <n v="1375"/>
    <s v="Serina"/>
    <s v="Zagen"/>
    <s v="Mark Ii Imports Inc"/>
    <s v="7 S Beverly Dr"/>
    <s v="Fort Wayne"/>
    <x v="26"/>
    <n v="46802"/>
    <s v="Serina Zagen"/>
    <s v="Serina Zagen"/>
    <s v="7"/>
    <s v="2602733725"/>
    <s v="2603824869"/>
    <s v="szagen@aol.com"/>
    <x v="1"/>
    <s v="LeSabre"/>
    <s v="Buick LeSabre"/>
    <d v="2009-07-23T00:00:00"/>
    <s v="Has Only One Vehicle"/>
    <s v="Has Only One Vehicle"/>
    <s v="Has Only One Vehicle"/>
    <n v="90979"/>
    <d v="2009-07-23T00:00:00"/>
    <x v="1"/>
    <x v="3"/>
  </r>
  <r>
    <n v="1079"/>
    <m/>
    <m/>
    <s v="Mark Iv Press Ltd"/>
    <s v="4284 Dorigo Ln"/>
    <s v="Chicago"/>
    <x v="1"/>
    <n v="60647"/>
    <s v=" "/>
    <s v="Mark Iv Press Ltd"/>
    <s v="4284"/>
    <s v="7734465569"/>
    <s v="7733523437"/>
    <s v="viva.toelkes@gmail.com"/>
    <x v="1"/>
    <s v="Grand Marquis"/>
    <s v="Mercury Grand Marquis"/>
    <d v="2011-07-24T00:00:00"/>
    <s v="Has Only One Vehicle"/>
    <s v="Has Only One Vehicle"/>
    <s v="Has Only One Vehicle"/>
    <n v="149967"/>
    <d v="2011-07-24T00:00:00"/>
    <x v="1"/>
    <x v="1"/>
  </r>
  <r>
    <n v="1129"/>
    <s v="Lucina"/>
    <s v="Lary"/>
    <m/>
    <s v="8597 W National Ave"/>
    <s v="Cocoa"/>
    <x v="24"/>
    <n v="32922"/>
    <s v="Lucina Lary"/>
    <s v="Lucina Lary"/>
    <s v="8597"/>
    <s v="3217494981"/>
    <s v=""/>
    <s v="lucina_lary@cox.net"/>
    <x v="0"/>
    <s v="Not Found"/>
    <s v="Not Found"/>
    <s v=""/>
    <s v="Has No Vehcile"/>
    <s v="Not Found"/>
    <s v="NF"/>
    <n v="0"/>
    <s v=""/>
    <x v="0"/>
    <x v="0"/>
  </r>
  <r>
    <n v="1329"/>
    <m/>
    <m/>
    <s v="Mayar Silk Inc"/>
    <s v="99 5th Ave #33"/>
    <s v="Trion"/>
    <x v="6"/>
    <n v="30753"/>
    <s v=" "/>
    <s v="Mayar Silk Inc"/>
    <s v="99"/>
    <s v="7062214243"/>
    <s v="7066165131"/>
    <s v="leota.ragel@gmail.com"/>
    <x v="1"/>
    <s v="Wrangler"/>
    <s v="Jeep Wrangler"/>
    <d v="2010-03-04T00:00:00"/>
    <s v="Has Only One Vehicle"/>
    <s v="Has Only One Vehicle"/>
    <s v="Has Only One Vehicle"/>
    <n v="215110"/>
    <d v="2010-03-04T00:00:00"/>
    <x v="1"/>
    <x v="2"/>
  </r>
  <r>
    <n v="1197"/>
    <s v="Felicidad"/>
    <s v="Poullion"/>
    <m/>
    <s v="9939 N 14th St"/>
    <s v="Riverton"/>
    <x v="3"/>
    <n v="8077"/>
    <s v="Felicidad Poullion"/>
    <s v="Felicidad Poullion"/>
    <s v="9939"/>
    <s v="8563059731"/>
    <s v="8568286021"/>
    <s v="fpoullion@poullion.com"/>
    <x v="1"/>
    <s v="Accord"/>
    <s v="Honda Accord"/>
    <d v="2007-05-20T00:00:00"/>
    <s v="Has Only One Vehicle"/>
    <s v="Has Only One Vehicle"/>
    <s v="Has Only One Vehicle"/>
    <n v="237444"/>
    <d v="2007-05-20T00:00:00"/>
    <x v="1"/>
    <x v="2"/>
  </r>
  <r>
    <n v="1357"/>
    <s v="Kristel"/>
    <s v="Ehmann"/>
    <m/>
    <s v="92899 Kalakaua Ave"/>
    <s v="El Paso"/>
    <x v="17"/>
    <n v="79925"/>
    <s v="Kristel Ehmann"/>
    <s v="Kristel Ehmann"/>
    <s v="92899"/>
    <s v="9154521290"/>
    <s v=""/>
    <s v="kristel.ehmann@aol.com"/>
    <x v="1"/>
    <s v="LS"/>
    <s v="Saturn LS"/>
    <d v="2007-12-04T00:00:00"/>
    <s v="Has Only One Vehicle"/>
    <s v="Has Only One Vehicle"/>
    <s v="Has Only One Vehicle"/>
    <n v="189028"/>
    <d v="2007-12-04T00:00:00"/>
    <x v="1"/>
    <x v="1"/>
  </r>
  <r>
    <n v="1348"/>
    <m/>
    <m/>
    <s v="Mcglynn Bliss Pc"/>
    <s v="8116 Mount Vernon Ave"/>
    <s v="Bucyrus"/>
    <x v="13"/>
    <n v="44820"/>
    <s v=" "/>
    <s v="Mcglynn Bliss Pc"/>
    <s v="8116"/>
    <s v="4195715920"/>
    <s v="4194886648"/>
    <s v="roselle.estell@hotmail.com"/>
    <x v="1"/>
    <s v="Villager"/>
    <s v="Mercury Villager"/>
    <d v="2005-10-20T00:00:00"/>
    <s v="Has Only One Vehicle"/>
    <s v="Has Only One Vehicle"/>
    <s v="Has Only One Vehicle"/>
    <n v="225117"/>
    <d v="2005-10-20T00:00:00"/>
    <x v="1"/>
    <x v="2"/>
  </r>
  <r>
    <n v="1094"/>
    <s v="Wilda"/>
    <s v="Giguere"/>
    <m/>
    <s v="1747 Calle Amanecer #2"/>
    <s v="Anchorage"/>
    <x v="18"/>
    <n v="99501"/>
    <s v="Wilda Giguere"/>
    <s v="Wilda Giguere"/>
    <s v="1747"/>
    <s v="9078705536"/>
    <s v="9079149482"/>
    <s v="wilda@cox.net"/>
    <x v="1"/>
    <s v="Catera"/>
    <s v="Cadillac Catera"/>
    <d v="2007-09-28T00:00:00"/>
    <s v="Has Only One Vehicle"/>
    <s v="Has Only One Vehicle"/>
    <s v="Has Only One Vehicle"/>
    <n v="177127"/>
    <d v="2007-09-28T00:00:00"/>
    <x v="1"/>
    <x v="1"/>
  </r>
  <r>
    <n v="1147"/>
    <m/>
    <m/>
    <s v="Megibow &amp; Edwards"/>
    <s v="4 Bloomfield Ave"/>
    <s v="Irving"/>
    <x v="17"/>
    <n v="75061"/>
    <s v=" "/>
    <s v="Megibow &amp; Edwards"/>
    <s v="4"/>
    <s v="9729346914"/>
    <s v=""/>
    <s v="gearldine_gellinger@gellinger.com"/>
    <x v="1"/>
    <s v="Pathfinder"/>
    <s v="Nissan Pathfinder"/>
    <d v="2016-09-25T00:00:00"/>
    <s v="Has Only One Vehicle"/>
    <s v="Has Only One Vehicle"/>
    <s v="Has Only One Vehicle"/>
    <n v="93050"/>
    <d v="2016-09-25T00:00:00"/>
    <x v="1"/>
    <x v="3"/>
  </r>
  <r>
    <n v="1007"/>
    <m/>
    <m/>
    <s v="Morlong Associates"/>
    <s v="7 Eads St"/>
    <s v="Chicago"/>
    <x v="1"/>
    <n v="60632"/>
    <s v=" "/>
    <s v="Morlong Associates"/>
    <s v="7"/>
    <s v="7735736914"/>
    <s v="7739248565"/>
    <s v="mitsue_tollner@yahoo.com"/>
    <x v="1"/>
    <s v="Mystique"/>
    <s v="Mercury Mystique"/>
    <d v="2017-12-19T00:00:00"/>
    <s v="Has Only One Vehicle"/>
    <s v="Has Only One Vehicle"/>
    <s v="Has Only One Vehicle"/>
    <n v="295413"/>
    <d v="2017-12-19T00:00:00"/>
    <x v="1"/>
    <x v="2"/>
  </r>
  <r>
    <n v="1171"/>
    <s v="Jennifer"/>
    <s v="Fallick"/>
    <m/>
    <s v="44 58th St"/>
    <s v="Wheeling"/>
    <x v="1"/>
    <n v="60090"/>
    <s v="Jennifer Fallick"/>
    <s v="Jennifer Fallick"/>
    <s v="44"/>
    <s v="8479799545"/>
    <s v=""/>
    <s v="jfallick@yahoo.com"/>
    <x v="1"/>
    <s v="Diamante"/>
    <s v="Mitsubishi Diamante"/>
    <d v="2009-08-28T00:00:00"/>
    <s v="Has Only One Vehicle"/>
    <s v="Has Only One Vehicle"/>
    <s v="Has Only One Vehicle"/>
    <n v="275044"/>
    <d v="2009-08-28T00:00:00"/>
    <x v="1"/>
    <x v="2"/>
  </r>
  <r>
    <n v="1130"/>
    <m/>
    <m/>
    <s v="Nelson Hawaiian Ltd"/>
    <s v="6 Gilson St"/>
    <s v="Bronx"/>
    <x v="2"/>
    <n v="10468"/>
    <s v=" "/>
    <s v="Nelson Hawaiian Ltd"/>
    <s v="6"/>
    <s v="7188093762"/>
    <s v="7184788568"/>
    <s v="bok.isaacs@aol.com"/>
    <x v="0"/>
    <s v="Not Found"/>
    <s v="Not Found"/>
    <s v=""/>
    <s v="Has No Vehcile"/>
    <s v="Not Found"/>
    <s v="NF"/>
    <n v="0"/>
    <s v=""/>
    <x v="0"/>
    <x v="0"/>
  </r>
  <r>
    <n v="1144"/>
    <s v="Audra"/>
    <s v="Kohnert"/>
    <m/>
    <s v="134 Lewis Rd"/>
    <s v="Nashville"/>
    <x v="7"/>
    <n v="37211"/>
    <s v="Audra Kohnert"/>
    <s v="Audra Kohnert"/>
    <s v="134"/>
    <s v="6154067854"/>
    <s v=""/>
    <s v="audra@kohnert.com"/>
    <x v="2"/>
    <s v="Silhouette"/>
    <s v="Oldsmobile Silhouette"/>
    <d v="2015-06-25T00:00:00"/>
    <s v="Camry"/>
    <s v="Toyota Camry"/>
    <d v="2018-02-10T00:00:00"/>
    <n v="537193"/>
    <d v="2018-02-10T00:00:00"/>
    <x v="1"/>
    <x v="2"/>
  </r>
  <r>
    <n v="1150"/>
    <s v="Josphine"/>
    <s v="Villanueva"/>
    <s v="New York Life John Thune"/>
    <s v="92 Main St"/>
    <s v="Atlantic City"/>
    <x v="3"/>
    <n v="8401"/>
    <s v="Josphine Villanueva"/>
    <s v="Josphine Villanueva"/>
    <s v="92"/>
    <s v="6095187697"/>
    <s v="6092639243"/>
    <s v="cheryl@haroldson.org"/>
    <x v="1"/>
    <s v="Corvette"/>
    <s v="Chevrolet Corvette"/>
    <d v="2007-05-12T00:00:00"/>
    <s v="Has Only One Vehicle"/>
    <s v="Has Only One Vehicle"/>
    <s v="Has Only One Vehicle"/>
    <n v="260214"/>
    <d v="2007-05-12T00:00:00"/>
    <x v="1"/>
    <x v="2"/>
  </r>
  <r>
    <n v="1139"/>
    <m/>
    <m/>
    <s v="Ninas Indian Grs &amp; Videos"/>
    <s v="627 Walford Ave"/>
    <s v="Dallas"/>
    <x v="17"/>
    <n v="75227"/>
    <s v=" "/>
    <s v="Ninas Indian Grs &amp; Videos"/>
    <s v="627"/>
    <s v="2143391809"/>
    <s v=""/>
    <s v="lhagele@cox.net"/>
    <x v="1"/>
    <s v="Xterra"/>
    <s v="Nissan Xterra"/>
    <d v="2019-01-24T00:00:00"/>
    <s v="Has Only One Vehicle"/>
    <s v="Has Only One Vehicle"/>
    <s v="Has Only One Vehicle"/>
    <n v="196901"/>
    <d v="2019-01-24T00:00:00"/>
    <x v="1"/>
    <x v="1"/>
  </r>
  <r>
    <n v="1480"/>
    <s v="Refugia"/>
    <s v="Jacobos"/>
    <s v="North Central Fl Sfty Cncl"/>
    <s v="2184 Worth St"/>
    <s v="Hayward"/>
    <x v="4"/>
    <n v="94545"/>
    <s v="Refugia Jacobos"/>
    <s v="Refugia Jacobos"/>
    <s v="2184"/>
    <s v="5109748671"/>
    <s v="5105093496"/>
    <s v="refugia.jacobos@jacobos.com"/>
    <x v="2"/>
    <s v="Century"/>
    <s v="Buick Century"/>
    <d v="2022-11-02T00:00:00"/>
    <s v="Expedition"/>
    <s v="Ford Expedition"/>
    <d v="2025-09-14T00:00:00"/>
    <n v="207363"/>
    <d v="2025-09-14T00:00:00"/>
    <x v="2"/>
    <x v="2"/>
  </r>
  <r>
    <n v="1102"/>
    <s v="Louisa"/>
    <s v="Cronauer"/>
    <s v="Pacific Grove Museum Ntrl Hist"/>
    <s v="524 Louisiana Ave Nw"/>
    <s v="San Leandro"/>
    <x v="4"/>
    <n v="94577"/>
    <s v="Louisa Cronauer"/>
    <s v="Louisa Cronauer"/>
    <s v="524"/>
    <s v="5108287047"/>
    <s v="5104727758"/>
    <s v="louisa@cronauer.com"/>
    <x v="2"/>
    <s v="528i"/>
    <s v="BMW 528i"/>
    <d v="2025-04-04T00:00:00"/>
    <s v="Windstar"/>
    <s v="Ford Windstar"/>
    <d v="2023-02-25T00:00:00"/>
    <n v="381548"/>
    <d v="2025-04-04T00:00:00"/>
    <x v="2"/>
    <x v="2"/>
  </r>
  <r>
    <n v="1288"/>
    <s v="Casie"/>
    <s v="Good"/>
    <m/>
    <s v="5221 Bear Valley Rd"/>
    <s v="Nashville"/>
    <x v="7"/>
    <n v="37211"/>
    <s v="Casie Good"/>
    <s v="Casie Good"/>
    <s v="5221"/>
    <s v="6153902251"/>
    <s v=""/>
    <s v="casie.good@aol.com"/>
    <x v="2"/>
    <s v="Breeze"/>
    <s v="Plymouth Breeze"/>
    <d v="2009-11-14T00:00:00"/>
    <s v="Celica"/>
    <s v="Toyota Celica"/>
    <d v="2014-12-29T00:00:00"/>
    <n v="507364"/>
    <d v="2014-12-29T00:00:00"/>
    <x v="1"/>
    <x v="2"/>
  </r>
  <r>
    <n v="1190"/>
    <m/>
    <m/>
    <s v="Payne Blades &amp; Wellborn Pa"/>
    <s v="98 University Dr"/>
    <s v="San Ramon"/>
    <x v="4"/>
    <n v="94583"/>
    <s v=" "/>
    <s v="Payne Blades &amp; Wellborn Pa"/>
    <s v="98"/>
    <s v="9256155185"/>
    <s v="9259433449"/>
    <s v="gmontezuma@cox.net"/>
    <x v="1"/>
    <s v="RX300"/>
    <s v="Lexus RX300"/>
    <d v="2021-01-04T00:00:00"/>
    <s v="Has Only One Vehicle"/>
    <s v="Has Only One Vehicle"/>
    <s v="Has Only One Vehicle"/>
    <n v="123590"/>
    <d v="2021-01-04T00:00:00"/>
    <x v="1"/>
    <x v="1"/>
  </r>
  <r>
    <n v="1296"/>
    <m/>
    <m/>
    <s v="Plantation Restaurant"/>
    <s v="8977 Connecticut Ave Nw #3"/>
    <s v="Niles"/>
    <x v="27"/>
    <n v="49120"/>
    <s v=" "/>
    <s v="Plantation Restaurant"/>
    <s v="8977"/>
    <s v="2697567222"/>
    <s v="2694319464"/>
    <s v="jaquas@aquas.com"/>
    <x v="1"/>
    <s v="Ram Wagon"/>
    <s v="Dodge Ram Wagon"/>
    <d v="2016-01-06T00:00:00"/>
    <s v="Has Only One Vehicle"/>
    <s v="Has Only One Vehicle"/>
    <s v="Has Only One Vehicle"/>
    <n v="94409"/>
    <d v="2016-01-06T00:00:00"/>
    <x v="1"/>
    <x v="3"/>
  </r>
  <r>
    <n v="1439"/>
    <s v="Josphine"/>
    <s v="Villanueva"/>
    <s v="Portland Central Thriftlodge"/>
    <s v="9 Tower Ave"/>
    <s v="Burlington"/>
    <x v="28"/>
    <n v="41005"/>
    <s v="Josphine Villanueva"/>
    <s v="Josphine Villanueva"/>
    <s v="9"/>
    <s v="8597177638"/>
    <s v="8593084286"/>
    <s v="stephane_myricks@cox.net"/>
    <x v="0"/>
    <s v="Not Found"/>
    <s v="Not Found"/>
    <s v=""/>
    <s v="Has No Vehcile"/>
    <s v="Not Found"/>
    <s v="NF"/>
    <n v="0"/>
    <s v=""/>
    <x v="0"/>
    <x v="0"/>
  </r>
  <r>
    <n v="1101"/>
    <m/>
    <m/>
    <s v="Porto Cayo At Hawks Cay"/>
    <s v="4 Webbs Chapel Rd"/>
    <s v="Boulder"/>
    <x v="5"/>
    <n v="80303"/>
    <s v=" "/>
    <s v="Porto Cayo At Hawks Cay"/>
    <s v="4"/>
    <s v="3033014946"/>
    <s v="3035219860"/>
    <s v="alease@buemi.com"/>
    <x v="0"/>
    <s v="Not Found"/>
    <s v="Not Found"/>
    <s v=""/>
    <s v="Has No Vehcile"/>
    <s v="Not Found"/>
    <s v="NF"/>
    <n v="0"/>
    <s v=""/>
    <x v="0"/>
    <x v="0"/>
  </r>
  <r>
    <n v="1263"/>
    <m/>
    <m/>
    <s v="Price Business Services"/>
    <s v="7 West Ave #1"/>
    <s v="Palatine"/>
    <x v="1"/>
    <n v="60067"/>
    <s v=" "/>
    <s v="Price Business Services"/>
    <s v="7"/>
    <s v="8472221734"/>
    <s v=""/>
    <s v="geoffrey@gmail.com"/>
    <x v="1"/>
    <s v="Galant"/>
    <s v="Mitsubishi Galant"/>
    <d v="2025-01-29T00:00:00"/>
    <s v="Has Only One Vehicle"/>
    <s v="Has Only One Vehicle"/>
    <s v="Has Only One Vehicle"/>
    <n v="106633"/>
    <d v="2025-01-29T00:00:00"/>
    <x v="2"/>
    <x v="1"/>
  </r>
  <r>
    <n v="1414"/>
    <m/>
    <m/>
    <s v="Print Doctor"/>
    <s v="72 Beechwood Ter"/>
    <s v="Chicago"/>
    <x v="1"/>
    <n v="60657"/>
    <s v=" "/>
    <s v="Print Doctor"/>
    <s v="72"/>
    <s v="7732259985"/>
    <s v="7738572231"/>
    <s v="nichelle_meteer@meteer.com"/>
    <x v="1"/>
    <s v="Cougar"/>
    <s v="Mercury Cougar"/>
    <d v="2016-02-23T00:00:00"/>
    <s v="Has Only One Vehicle"/>
    <s v="Has Only One Vehicle"/>
    <s v="Has Only One Vehicle"/>
    <n v="192857"/>
    <d v="2016-02-23T00:00:00"/>
    <x v="1"/>
    <x v="1"/>
  </r>
  <r>
    <n v="1005"/>
    <s v="Donette"/>
    <s v="Foller"/>
    <s v="Printing Dimensions"/>
    <s v="34 Center St"/>
    <s v="Hamilton"/>
    <x v="13"/>
    <n v="45011"/>
    <s v="Donette Foller"/>
    <s v="Donette Foller"/>
    <s v="34"/>
    <s v="5135701893"/>
    <s v="5135494561"/>
    <s v="donette.foller@cox.net"/>
    <x v="1"/>
    <s v="CR-V"/>
    <s v="Honda CR-V"/>
    <d v="2013-03-21T00:00:00"/>
    <s v="Has Only One Vehicle"/>
    <s v="Has Only One Vehicle"/>
    <s v="Has Only One Vehicle"/>
    <n v="61872"/>
    <d v="2013-03-21T00:00:00"/>
    <x v="1"/>
    <x v="3"/>
  </r>
  <r>
    <n v="1394"/>
    <m/>
    <m/>
    <s v="Printing Images Corp"/>
    <s v="36 Enterprise St Se"/>
    <s v="Richland"/>
    <x v="23"/>
    <n v="99352"/>
    <s v=" "/>
    <s v="Printing Images Corp"/>
    <s v="36"/>
    <s v="5096955199"/>
    <s v="5095956485"/>
    <s v="laurel@yahoo.com"/>
    <x v="1"/>
    <s v="300M"/>
    <s v="Chrysler 300M"/>
    <d v="2025-02-10T00:00:00"/>
    <s v="Has Only One Vehicle"/>
    <s v="Has Only One Vehicle"/>
    <s v="Has Only One Vehicle"/>
    <n v="216349"/>
    <d v="2025-02-10T00:00:00"/>
    <x v="2"/>
    <x v="2"/>
  </r>
  <r>
    <n v="1070"/>
    <s v="Vallie"/>
    <s v="Mondella"/>
    <s v="Private Properties"/>
    <s v="74 W College St"/>
    <s v="Boise"/>
    <x v="22"/>
    <n v="83707"/>
    <s v="Vallie Mondella"/>
    <s v="Vallie Mondella"/>
    <s v="74"/>
    <s v="2088625339"/>
    <s v="2087378439"/>
    <s v="vmondella@mondella.com"/>
    <x v="2"/>
    <s v="CL"/>
    <s v="Acura CL"/>
    <d v="2010-01-04T00:00:00"/>
    <s v="Escort"/>
    <s v="Ford Escort"/>
    <d v="2011-03-31T00:00:00"/>
    <n v="353791"/>
    <d v="2011-03-31T00:00:00"/>
    <x v="1"/>
    <x v="2"/>
  </r>
  <r>
    <n v="1077"/>
    <m/>
    <m/>
    <s v="Q A Service"/>
    <s v="6 Kains Ave"/>
    <s v="Baltimore"/>
    <x v="8"/>
    <n v="21215"/>
    <s v=" "/>
    <s v="Q A Service"/>
    <s v="6"/>
    <s v="4105204832"/>
    <s v="4109576903"/>
    <s v="laurel_reitler@reitler.com"/>
    <x v="1"/>
    <s v="LHS"/>
    <s v="Chrysler LHS"/>
    <d v="2024-05-08T00:00:00"/>
    <s v="Has Only One Vehicle"/>
    <s v="Has Only One Vehicle"/>
    <s v="Has Only One Vehicle"/>
    <n v="288348"/>
    <d v="2024-05-08T00:00:00"/>
    <x v="2"/>
    <x v="2"/>
  </r>
  <r>
    <n v="1435"/>
    <m/>
    <m/>
    <s v="Reese Plastics"/>
    <s v="2 W Beverly Blvd"/>
    <s v="Harrisburg"/>
    <x v="9"/>
    <n v="17110"/>
    <s v=" "/>
    <s v="Reese Plastics"/>
    <s v="2"/>
    <s v="7175288996"/>
    <s v=""/>
    <s v="ahmed.angalich@angalich.com"/>
    <x v="2"/>
    <s v="Corolla"/>
    <s v="Toyota Corolla"/>
    <d v="2020-04-11T00:00:00"/>
    <s v="Bravada"/>
    <s v="Oldsmobile Bravada"/>
    <d v="2024-09-21T00:00:00"/>
    <n v="370301"/>
    <d v="2024-09-21T00:00:00"/>
    <x v="2"/>
    <x v="2"/>
  </r>
  <r>
    <n v="1186"/>
    <s v="Hillary"/>
    <s v="Skulski"/>
    <s v="Replica I"/>
    <s v="9 Wales Rd Ne #914"/>
    <s v="Homosassa"/>
    <x v="24"/>
    <n v="34448"/>
    <s v="Hillary Skulski"/>
    <s v="Hillary Skulski"/>
    <s v="9"/>
    <s v="3522422570"/>
    <s v="3529905946"/>
    <s v="hillary.skulski@aol.com"/>
    <x v="1"/>
    <s v="Grand Cherokee"/>
    <s v="Jeep Grand Cherokee"/>
    <d v="2022-12-10T00:00:00"/>
    <s v="Has Only One Vehicle"/>
    <s v="Has Only One Vehicle"/>
    <s v="Has Only One Vehicle"/>
    <n v="126424"/>
    <d v="2022-12-10T00:00:00"/>
    <x v="2"/>
    <x v="1"/>
  </r>
  <r>
    <n v="1069"/>
    <s v="Ilene"/>
    <s v="Eroman"/>
    <m/>
    <s v="2853 S Central Expy"/>
    <s v="Glen Burnie"/>
    <x v="8"/>
    <n v="21061"/>
    <s v="Ilene Eroman"/>
    <s v="Ilene Eroman"/>
    <s v="2853"/>
    <s v="4109149018"/>
    <s v=""/>
    <s v="ilene.eroman@hotmail.com"/>
    <x v="1"/>
    <s v="Escalade"/>
    <s v="Cadillac Escalade"/>
    <d v="2014-04-17T00:00:00"/>
    <s v="Has Only One Vehicle"/>
    <s v="Has Only One Vehicle"/>
    <s v="Has Only One Vehicle"/>
    <n v="237505"/>
    <d v="2014-04-17T00:00:00"/>
    <x v="1"/>
    <x v="2"/>
  </r>
  <r>
    <n v="1182"/>
    <m/>
    <m/>
    <s v="Royal Pontiac Olds Inc"/>
    <s v="9 Murfreesboro Rd"/>
    <s v="Chicago"/>
    <x v="1"/>
    <n v="60623"/>
    <s v=" "/>
    <s v="Royal Pontiac Olds Inc"/>
    <s v="9"/>
    <s v="7734944195"/>
    <s v="7732979391"/>
    <s v="ccookey@cookey.org"/>
    <x v="1"/>
    <s v="Navigator"/>
    <s v="Lincoln Navigator"/>
    <d v="2022-12-23T00:00:00"/>
    <s v="Has Only One Vehicle"/>
    <s v="Has Only One Vehicle"/>
    <s v="Has Only One Vehicle"/>
    <n v="68385"/>
    <d v="2022-12-23T00:00:00"/>
    <x v="2"/>
    <x v="3"/>
  </r>
  <r>
    <n v="1445"/>
    <s v="Josphine"/>
    <s v="Villanueva"/>
    <s v="Santa Cruz Community Internet"/>
    <s v="63 Smith Ln #8343"/>
    <s v="Moss"/>
    <x v="7"/>
    <n v="38575"/>
    <s v="Josphine Villanueva"/>
    <s v="Josphine Villanueva"/>
    <s v="63"/>
    <s v="9315539774"/>
    <s v="9314866946"/>
    <s v="josphine_villanueva@villanueva.com"/>
    <x v="1"/>
    <s v="GS300"/>
    <s v="Lexus GS300"/>
    <d v="2009-05-10T00:00:00"/>
    <s v="Has Only One Vehicle"/>
    <s v="Has Only One Vehicle"/>
    <s v="Has Only One Vehicle"/>
    <n v="51706"/>
    <d v="2009-05-10T00:00:00"/>
    <x v="1"/>
    <x v="3"/>
  </r>
  <r>
    <n v="1140"/>
    <s v="Valentin"/>
    <s v="Klimek"/>
    <m/>
    <s v="137 Pioneer Way"/>
    <s v="Chicago"/>
    <x v="1"/>
    <n v="60604"/>
    <s v="Valentin Klimek"/>
    <s v="Valentin Klimek"/>
    <s v="137"/>
    <s v="3123035453"/>
    <s v="3125122338"/>
    <s v="vklimek@klimek.org"/>
    <x v="1"/>
    <s v="Sable"/>
    <s v="Mercury Sable"/>
    <d v="2017-09-22T00:00:00"/>
    <s v="Has Only One Vehicle"/>
    <s v="Has Only One Vehicle"/>
    <s v="Has Only One Vehicle"/>
    <n v="76930"/>
    <d v="2017-09-22T00:00:00"/>
    <x v="1"/>
    <x v="3"/>
  </r>
  <r>
    <n v="1387"/>
    <s v="Gail"/>
    <s v="Kitty"/>
    <s v="Service Supply Co Inc"/>
    <s v="735 Crawford Dr"/>
    <s v="Anchorage"/>
    <x v="18"/>
    <n v="99501"/>
    <s v="Gail Kitty"/>
    <s v="Gail Kitty"/>
    <s v="735"/>
    <s v="9074359166"/>
    <s v=""/>
    <s v="gail@kitty.com"/>
    <x v="1"/>
    <s v="DeVille"/>
    <s v="Cadillac DeVille"/>
    <d v="2025-02-23T00:00:00"/>
    <s v="Has Only One Vehicle"/>
    <s v="Has Only One Vehicle"/>
    <s v="Has Only One Vehicle"/>
    <n v="241416"/>
    <d v="2025-02-23T00:00:00"/>
    <x v="2"/>
    <x v="2"/>
  </r>
  <r>
    <n v="1146"/>
    <s v="Fernanda"/>
    <s v="Jillson"/>
    <m/>
    <s v="60480 Old Us Highway 51"/>
    <s v="Preston"/>
    <x v="8"/>
    <n v="21655"/>
    <s v="Fernanda Jillson"/>
    <s v="Fernanda Jillson"/>
    <s v="60480"/>
    <s v="4103875260"/>
    <s v="4107246472"/>
    <s v="fjillson@aol.com"/>
    <x v="1"/>
    <s v="Elantra"/>
    <s v="Hyundai Elantra"/>
    <d v="2023-11-15T00:00:00"/>
    <s v="Has Only One Vehicle"/>
    <s v="Has Only One Vehicle"/>
    <s v="Has Only One Vehicle"/>
    <n v="170933"/>
    <d v="2023-11-15T00:00:00"/>
    <x v="2"/>
    <x v="1"/>
  </r>
  <r>
    <n v="1380"/>
    <s v="Gayla"/>
    <s v="Schnitzler"/>
    <s v="Sigma Corp Of America"/>
    <s v="38 Pleasant Hill Rd"/>
    <s v="Hayward"/>
    <x v="4"/>
    <n v="94545"/>
    <s v="Gayla Schnitzler"/>
    <s v="Gayla Schnitzler"/>
    <s v="38"/>
    <s v="5106863407"/>
    <s v=""/>
    <s v="gschnitzler@gmail.com"/>
    <x v="2"/>
    <s v="Crown Victoria"/>
    <s v="Ford Crown Victoria"/>
    <d v="2018-09-26T00:00:00"/>
    <s v="323i"/>
    <s v="BMW 323i"/>
    <d v="2019-06-28T00:00:00"/>
    <n v="432258"/>
    <d v="2019-06-28T00:00:00"/>
    <x v="1"/>
    <x v="2"/>
  </r>
  <r>
    <n v="1498"/>
    <m/>
    <m/>
    <s v="Simonton Howe &amp; Schneider Pc"/>
    <s v="89992 E 15th St"/>
    <s v="Alliance"/>
    <x v="19"/>
    <n v="69301"/>
    <s v=" "/>
    <s v="Simonton Howe &amp; Schneider Pc"/>
    <s v="89992"/>
    <s v="3087262182"/>
    <s v="3082506987"/>
    <s v="flo.bookamer@cox.net"/>
    <x v="0"/>
    <s v="Not Found"/>
    <s v="Not Found"/>
    <s v=""/>
    <s v="Has No Vehcile"/>
    <s v="Not Found"/>
    <s v="NF"/>
    <n v="0"/>
    <s v=""/>
    <x v="0"/>
    <x v="0"/>
  </r>
  <r>
    <n v="1083"/>
    <m/>
    <m/>
    <s v="Smc Inc"/>
    <s v="11279 Loytan St"/>
    <s v="Jacksonville"/>
    <x v="24"/>
    <n v="32254"/>
    <s v=" "/>
    <s v="Smc Inc"/>
    <s v="11279"/>
    <s v="9047754480"/>
    <s v="9045149918"/>
    <s v="ahoneywell@honeywell.com"/>
    <x v="2"/>
    <s v="V70"/>
    <s v="Volvo V70"/>
    <d v="2008-06-25T00:00:00"/>
    <s v="SC"/>
    <s v="Saturn SC"/>
    <d v="2025-03-16T00:00:00"/>
    <n v="336442"/>
    <d v="2025-03-16T00:00:00"/>
    <x v="2"/>
    <x v="2"/>
  </r>
  <r>
    <n v="1381"/>
    <s v="Erick"/>
    <s v="Nievas"/>
    <m/>
    <s v="45 E Acacia Ct"/>
    <s v="Chicago"/>
    <x v="1"/>
    <n v="60624"/>
    <s v="Erick Nievas"/>
    <s v="Erick Nievas"/>
    <s v="45"/>
    <s v="7737049903"/>
    <s v="7733596109"/>
    <s v="erick_nievas@aol.com"/>
    <x v="1"/>
    <s v="Eclipse"/>
    <s v="Mitsubishi Eclipse"/>
    <d v="2012-11-24T00:00:00"/>
    <s v="Has Only One Vehicle"/>
    <s v="Has Only One Vehicle"/>
    <s v="Has Only One Vehicle"/>
    <n v="70769"/>
    <d v="2012-11-24T00:00:00"/>
    <x v="1"/>
    <x v="3"/>
  </r>
  <r>
    <n v="1369"/>
    <m/>
    <m/>
    <s v="Spoor Behrins Campbell &amp; Young"/>
    <s v="7061 N 2nd St"/>
    <s v="Burnsville"/>
    <x v="15"/>
    <n v="55337"/>
    <s v=" "/>
    <s v="Spoor Behrins Campbell &amp; Young"/>
    <s v="7061"/>
    <s v="9527027993"/>
    <s v=""/>
    <s v="qbirkner@aol.com"/>
    <x v="1"/>
    <s v="Sentra"/>
    <s v="Nissan Sentra"/>
    <d v="2023-08-31T00:00:00"/>
    <s v="Has Only One Vehicle"/>
    <s v="Has Only One Vehicle"/>
    <s v="Has Only One Vehicle"/>
    <n v="155451"/>
    <d v="2023-08-31T00:00:00"/>
    <x v="2"/>
    <x v="1"/>
  </r>
  <r>
    <n v="1021"/>
    <m/>
    <m/>
    <s v="Sport En Art"/>
    <s v="6 S 33rd St"/>
    <s v="Aston"/>
    <x v="9"/>
    <n v="19014"/>
    <s v=" "/>
    <s v="Sport En Art"/>
    <s v="6"/>
    <s v="6105453615"/>
    <s v=""/>
    <s v="bette_nicka@cox.net"/>
    <x v="2"/>
    <s v="Sienna"/>
    <s v="Toyota Sienna"/>
    <d v="2011-10-05T00:00:00"/>
    <s v="Prowler"/>
    <s v="Plymouth Prowler"/>
    <d v="2017-06-27T00:00:00"/>
    <n v="557400"/>
    <d v="2017-06-27T00:00:00"/>
    <x v="1"/>
    <x v="2"/>
  </r>
  <r>
    <n v="1096"/>
    <s v="Carma"/>
    <s v="Vanheusen"/>
    <s v="Springfield Div Oh Edison Co"/>
    <s v="68556 Central Hwy"/>
    <s v="San Leandro"/>
    <x v="4"/>
    <n v="94577"/>
    <s v="Carma Vanheusen"/>
    <s v="Carma Vanheusen"/>
    <s v="68556"/>
    <s v="5105037169"/>
    <s v=""/>
    <s v="carma@cox.net"/>
    <x v="2"/>
    <s v="A4"/>
    <s v="Audi A4"/>
    <d v="2007-10-08T00:00:00"/>
    <s v="Contour"/>
    <s v="Ford Contour"/>
    <d v="2014-08-20T00:00:00"/>
    <n v="429848"/>
    <d v="2014-08-20T00:00:00"/>
    <x v="1"/>
    <x v="2"/>
  </r>
  <r>
    <n v="1479"/>
    <s v="Alpha"/>
    <s v="Palaia"/>
    <m/>
    <s v="43496 Commercial Dr #29"/>
    <s v="Cherry Hill"/>
    <x v="3"/>
    <n v="8003"/>
    <s v="Alpha Palaia"/>
    <s v="Alpha Palaia"/>
    <s v="43496"/>
    <s v="8563122629"/>
    <s v="8565137024"/>
    <s v="alpha@yahoo.com"/>
    <x v="1"/>
    <s v="Odyssey"/>
    <s v="Honda Odyssey"/>
    <d v="2019-02-08T00:00:00"/>
    <s v="Has Only One Vehicle"/>
    <s v="Has Only One Vehicle"/>
    <s v="Has Only One Vehicle"/>
    <n v="288152"/>
    <d v="2019-02-08T00:00:00"/>
    <x v="1"/>
    <x v="2"/>
  </r>
  <r>
    <n v="1383"/>
    <s v="Mitsue"/>
    <s v="Scipione"/>
    <s v="Students In Free Entrprs Natl"/>
    <s v="77 222 Dr"/>
    <s v="Oroville"/>
    <x v="4"/>
    <n v="95965"/>
    <s v="Mitsue Scipione"/>
    <s v="Mitsue Scipione"/>
    <s v="77"/>
    <s v="5309869272"/>
    <s v=""/>
    <s v="mscipione@scipione.com"/>
    <x v="1"/>
    <s v="Passport"/>
    <s v="Honda Passport"/>
    <d v="2016-10-09T00:00:00"/>
    <s v="Has Only One Vehicle"/>
    <s v="Has Only One Vehicle"/>
    <s v="Has Only One Vehicle"/>
    <n v="92162"/>
    <d v="2016-10-09T00:00:00"/>
    <x v="1"/>
    <x v="3"/>
  </r>
  <r>
    <n v="1265"/>
    <m/>
    <m/>
    <s v="Super 8 Motel"/>
    <s v="669 Packerland Dr #1438"/>
    <s v="Denver"/>
    <x v="5"/>
    <n v="80212"/>
    <s v=" "/>
    <s v="Super 8 Motel"/>
    <s v="669"/>
    <s v="3034042210"/>
    <s v=""/>
    <s v="pamella@fortino.com"/>
    <x v="2"/>
    <s v="Firebird"/>
    <s v="Pontiac Firebird"/>
    <d v="2009-06-16T00:00:00"/>
    <s v="Land Cruiser"/>
    <s v="Toyota Land Cruiser"/>
    <d v="2025-09-25T00:00:00"/>
    <n v="412865"/>
    <d v="2025-09-25T00:00:00"/>
    <x v="2"/>
    <x v="2"/>
  </r>
  <r>
    <n v="1460"/>
    <m/>
    <m/>
    <s v="Switchcraft Inc"/>
    <s v="4 Nw 12th St #3849"/>
    <s v="Madison"/>
    <x v="14"/>
    <n v="53717"/>
    <s v=" "/>
    <s v="Switchcraft Inc"/>
    <s v="4"/>
    <s v="6083824541"/>
    <s v="6083023387"/>
    <s v="cecilia_colaizzo@colaizzo.com"/>
    <x v="1"/>
    <s v="Intrigue"/>
    <s v="Oldsmobile Intrigue"/>
    <d v="2008-04-01T00:00:00"/>
    <s v="Has Only One Vehicle"/>
    <s v="Has Only One Vehicle"/>
    <s v="Has Only One Vehicle"/>
    <n v="244769"/>
    <d v="2008-04-01T00:00:00"/>
    <x v="1"/>
    <x v="2"/>
  </r>
  <r>
    <n v="1491"/>
    <s v="Carlee"/>
    <s v="Boulter"/>
    <m/>
    <s v="8284 Hart St"/>
    <s v="Abilene"/>
    <x v="16"/>
    <n v="67410"/>
    <s v="Carlee Boulter"/>
    <s v="Carlee Boulter"/>
    <s v="8284"/>
    <s v="7853471805"/>
    <s v="7852537049"/>
    <s v="carlee.boulter@hotmail.com"/>
    <x v="2"/>
    <s v="Jetta"/>
    <s v="Volkswagen Jetta"/>
    <d v="2024-08-27T00:00:00"/>
    <s v="Bonneville"/>
    <s v="Pontiac Bonneville"/>
    <d v="2019-05-18T00:00:00"/>
    <n v="334002"/>
    <d v="2024-08-27T00:00:00"/>
    <x v="2"/>
    <x v="2"/>
  </r>
  <r>
    <n v="1041"/>
    <m/>
    <m/>
    <s v="Tri M Tool Inc"/>
    <s v="2881 Lewis Rd"/>
    <s v="Prineville"/>
    <x v="29"/>
    <n v="97754"/>
    <s v=" "/>
    <s v="Tri M Tool Inc"/>
    <s v="2881"/>
    <s v="5415488197"/>
    <s v="5419932611"/>
    <s v="youlanda@aol.com"/>
    <x v="1"/>
    <s v="C-Class"/>
    <s v="Mercedes-B C-Class"/>
    <d v="2006-04-24T00:00:00"/>
    <s v="Has Only One Vehicle"/>
    <s v="Has Only One Vehicle"/>
    <s v="Has Only One Vehicle"/>
    <n v="150944"/>
    <d v="2006-04-24T00:00:00"/>
    <x v="1"/>
    <x v="1"/>
  </r>
  <r>
    <n v="1232"/>
    <m/>
    <m/>
    <s v="Tyee Productions Inc"/>
    <s v="3958 S Dupont Hwy #7"/>
    <s v="Ramsey"/>
    <x v="3"/>
    <n v="7446"/>
    <s v=" "/>
    <s v="Tyee Productions Inc"/>
    <s v="3958"/>
    <s v="2014744924"/>
    <s v="2013658698"/>
    <s v="eladia@saulter.com"/>
    <x v="1"/>
    <s v="Avenger"/>
    <s v="Dodge Avenger"/>
    <d v="2019-07-01T00:00:00"/>
    <s v="Has Only One Vehicle"/>
    <s v="Has Only One Vehicle"/>
    <s v="Has Only One Vehicle"/>
    <n v="250652"/>
    <d v="2019-07-01T00:00:00"/>
    <x v="1"/>
    <x v="2"/>
  </r>
  <r>
    <n v="1473"/>
    <s v="Nickolas"/>
    <s v="Juvera"/>
    <s v="United Oil Co Inc"/>
    <s v="177 S Rider Trl #52"/>
    <s v="Crystal River"/>
    <x v="24"/>
    <n v="34429"/>
    <s v="Nickolas Juvera"/>
    <s v="Nickolas Juvera"/>
    <s v="177"/>
    <s v="3525988301"/>
    <s v="3529476152"/>
    <s v="nickolas_juvera@cox.net"/>
    <x v="1"/>
    <s v="ES300"/>
    <s v="Lexus ES300"/>
    <d v="2009-07-09T00:00:00"/>
    <s v="Has Only One Vehicle"/>
    <s v="Has Only One Vehicle"/>
    <s v="Has Only One Vehicle"/>
    <n v="85836"/>
    <d v="2009-07-09T00:00:00"/>
    <x v="1"/>
    <x v="3"/>
  </r>
  <r>
    <n v="1054"/>
    <m/>
    <m/>
    <s v="Vicon Corporation"/>
    <s v="71 San Mateo Ave"/>
    <s v="Wayne"/>
    <x v="9"/>
    <n v="19087"/>
    <s v=" "/>
    <s v="Vicon Corporation"/>
    <s v="71"/>
    <s v="6108145533"/>
    <s v="6103797125"/>
    <s v="mmastella@mastella.com"/>
    <x v="2"/>
    <s v="RAV4"/>
    <s v="Toyota RAV4"/>
    <d v="2016-05-06T00:00:00"/>
    <s v="Sunfire"/>
    <s v="Pontiac Sunfire"/>
    <d v="2010-01-25T00:00:00"/>
    <n v="558907"/>
    <d v="2016-05-06T00:00:00"/>
    <x v="1"/>
    <x v="2"/>
  </r>
  <r>
    <n v="1396"/>
    <m/>
    <m/>
    <s v="Vico Products Mfg Co"/>
    <s v="5 W 7th St"/>
    <s v="Parkville"/>
    <x v="8"/>
    <n v="21234"/>
    <s v=" "/>
    <s v="Vico Products Mfg Co"/>
    <s v="5"/>
    <s v="4107571035"/>
    <s v="4102342267"/>
    <s v="annelle@yahoo.com"/>
    <x v="1"/>
    <s v="Metro"/>
    <s v="Chevrolet Metro"/>
    <d v="2014-04-13T00:00:00"/>
    <s v="Has Only One Vehicle"/>
    <s v="Has Only One Vehicle"/>
    <s v="Has Only One Vehicle"/>
    <n v="198865"/>
    <d v="2014-04-13T00:00:00"/>
    <x v="1"/>
    <x v="1"/>
  </r>
  <r>
    <n v="1470"/>
    <m/>
    <m/>
    <s v="Warner Electric Brk &amp; Cltch Co"/>
    <s v="13 Gunnison St"/>
    <s v="Plano"/>
    <x v="17"/>
    <n v="75075"/>
    <s v=" "/>
    <s v="Warner Electric Brk &amp; Cltch Co"/>
    <s v="13"/>
    <s v="9725581665"/>
    <s v=""/>
    <s v="ryan@cox.net"/>
    <x v="1"/>
    <s v="LX470"/>
    <s v="Lexus LX470"/>
    <d v="2021-10-30T00:00:00"/>
    <s v="Has Only One Vehicle"/>
    <s v="Has Only One Vehicle"/>
    <s v="Has Only One Vehicle"/>
    <n v="181783"/>
    <d v="2021-10-30T00:00:00"/>
    <x v="1"/>
    <x v="1"/>
  </r>
  <r>
    <n v="1365"/>
    <m/>
    <m/>
    <s v="Womack &amp; Galich"/>
    <s v="2215 Prosperity Dr"/>
    <s v="Lyndhurst"/>
    <x v="3"/>
    <n v="7071"/>
    <s v=" "/>
    <s v="Womack &amp; Galich"/>
    <s v="2215"/>
    <s v="2018252514"/>
    <s v="2017498866"/>
    <s v="pdubaldi@hotmail.com"/>
    <x v="1"/>
    <s v="Viper"/>
    <s v="Dodge Viper"/>
    <d v="2016-08-07T00:00:00"/>
    <s v="Has Only One Vehicle"/>
    <s v="Has Only One Vehicle"/>
    <s v="Has Only One Vehicle"/>
    <n v="260681"/>
    <d v="2016-08-07T00:00:00"/>
    <x v="1"/>
    <x v="2"/>
  </r>
  <r>
    <n v="1407"/>
    <s v="Arthur"/>
    <s v="Farrow"/>
    <m/>
    <s v="28 S 7th St #2824"/>
    <s v="Englewood"/>
    <x v="3"/>
    <n v="7631"/>
    <s v="Arthur Farrow"/>
    <s v="Arthur Farrow"/>
    <s v="28"/>
    <s v="2012385688"/>
    <s v="2017724377"/>
    <s v="arthur.farrow@yahoo.com"/>
    <x v="1"/>
    <s v="Neon"/>
    <s v="Dodge Neon"/>
    <d v="2025-12-12T00:00:00"/>
    <s v="Has Only One Vehicle"/>
    <s v="Has Only One Vehicle"/>
    <s v="Has Only One Vehicle"/>
    <n v="243363"/>
    <d v="2025-12-12T00:00:0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B6881-C5C5-4522-ADA7-BA66A48AB445}" name="PivotTable1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9:B34" firstHeaderRow="1" firstDataRow="1" firstDataCol="1"/>
  <pivotFields count="25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3"/>
        <item x="1"/>
        <item t="default"/>
      </items>
    </pivotField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stomersCountBasedOnMileage" fld="0" subtotal="count" baseField="2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130C9-15F5-4654-87E1-84F34967DF1C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1:J32" firstHeaderRow="0" firstDataRow="1" firstDataCol="1"/>
  <pivotFields count="17">
    <pivotField showAll="0"/>
    <pivotField showAll="0"/>
    <pivotField showAll="0"/>
    <pivotField axis="axisRow" showAll="0">
      <items count="31">
        <item x="20"/>
        <item x="22"/>
        <item x="17"/>
        <item x="27"/>
        <item x="21"/>
        <item x="5"/>
        <item x="18"/>
        <item x="2"/>
        <item x="10"/>
        <item x="16"/>
        <item x="6"/>
        <item x="29"/>
        <item x="28"/>
        <item x="9"/>
        <item x="24"/>
        <item x="0"/>
        <item x="13"/>
        <item x="14"/>
        <item x="12"/>
        <item x="23"/>
        <item x="1"/>
        <item x="15"/>
        <item x="11"/>
        <item x="19"/>
        <item x="7"/>
        <item x="26"/>
        <item x="25"/>
        <item x="8"/>
        <item x="4"/>
        <item x="3"/>
        <item t="default"/>
      </items>
    </pivotField>
    <pivotField showAll="0">
      <items count="157">
        <item x="8"/>
        <item x="11"/>
        <item x="81"/>
        <item x="80"/>
        <item x="108"/>
        <item x="99"/>
        <item x="85"/>
        <item x="22"/>
        <item x="44"/>
        <item x="131"/>
        <item x="35"/>
        <item x="144"/>
        <item x="32"/>
        <item x="91"/>
        <item x="125"/>
        <item x="5"/>
        <item x="23"/>
        <item x="92"/>
        <item x="93"/>
        <item x="49"/>
        <item x="25"/>
        <item x="109"/>
        <item x="18"/>
        <item x="52"/>
        <item x="69"/>
        <item x="102"/>
        <item x="153"/>
        <item x="97"/>
        <item x="34"/>
        <item x="51"/>
        <item x="41"/>
        <item x="58"/>
        <item x="16"/>
        <item x="84"/>
        <item x="121"/>
        <item x="103"/>
        <item x="43"/>
        <item x="20"/>
        <item x="39"/>
        <item x="95"/>
        <item x="37"/>
        <item x="124"/>
        <item x="54"/>
        <item x="75"/>
        <item x="9"/>
        <item x="56"/>
        <item x="53"/>
        <item x="64"/>
        <item x="155"/>
        <item x="63"/>
        <item x="120"/>
        <item x="61"/>
        <item x="60"/>
        <item x="55"/>
        <item x="19"/>
        <item x="74"/>
        <item x="7"/>
        <item x="83"/>
        <item x="145"/>
        <item x="30"/>
        <item x="146"/>
        <item x="135"/>
        <item x="150"/>
        <item x="21"/>
        <item x="57"/>
        <item x="50"/>
        <item x="67"/>
        <item x="65"/>
        <item x="15"/>
        <item x="36"/>
        <item x="13"/>
        <item x="10"/>
        <item x="17"/>
        <item x="130"/>
        <item x="117"/>
        <item x="154"/>
        <item x="4"/>
        <item x="104"/>
        <item x="33"/>
        <item x="27"/>
        <item x="2"/>
        <item x="42"/>
        <item x="40"/>
        <item x="105"/>
        <item x="116"/>
        <item x="26"/>
        <item x="134"/>
        <item x="132"/>
        <item x="66"/>
        <item x="71"/>
        <item x="47"/>
        <item x="112"/>
        <item x="151"/>
        <item x="78"/>
        <item x="6"/>
        <item x="28"/>
        <item x="115"/>
        <item x="72"/>
        <item x="122"/>
        <item x="106"/>
        <item x="88"/>
        <item x="107"/>
        <item x="127"/>
        <item x="0"/>
        <item x="14"/>
        <item x="76"/>
        <item x="137"/>
        <item x="70"/>
        <item x="128"/>
        <item x="133"/>
        <item x="38"/>
        <item x="123"/>
        <item x="59"/>
        <item x="148"/>
        <item x="111"/>
        <item x="113"/>
        <item x="136"/>
        <item x="147"/>
        <item x="90"/>
        <item x="96"/>
        <item x="46"/>
        <item x="129"/>
        <item x="48"/>
        <item x="126"/>
        <item x="86"/>
        <item x="98"/>
        <item x="141"/>
        <item x="119"/>
        <item x="100"/>
        <item x="24"/>
        <item x="118"/>
        <item x="114"/>
        <item x="31"/>
        <item x="1"/>
        <item x="79"/>
        <item x="94"/>
        <item x="140"/>
        <item x="62"/>
        <item x="143"/>
        <item x="77"/>
        <item x="73"/>
        <item x="152"/>
        <item x="68"/>
        <item x="139"/>
        <item x="12"/>
        <item x="110"/>
        <item x="87"/>
        <item x="89"/>
        <item x="3"/>
        <item x="29"/>
        <item x="82"/>
        <item x="138"/>
        <item x="149"/>
        <item x="45"/>
        <item x="101"/>
        <item x="142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Horsepower" fld="7" subtotal="average" baseField="3" baseItem="0"/>
    <dataField name="Average of Price_in_thousands" fld="5" subtotal="average" baseField="3" baseItem="0"/>
    <dataField name="Average of Fuel_efficiency" fld="13" subtotal="average" baseField="3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5665E-0C43-4504-90F9-40AC09A1CD1E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25" firstHeaderRow="1" firstDataRow="1" firstDataCol="1"/>
  <pivotFields count="17">
    <pivotField dataField="1" showAll="0"/>
    <pivotField showAll="0"/>
    <pivotField axis="axisRow" showAll="0" sortType="descending">
      <items count="24">
        <item x="8"/>
        <item x="13"/>
        <item x="4"/>
        <item x="12"/>
        <item x="15"/>
        <item x="21"/>
        <item x="18"/>
        <item x="3"/>
        <item x="1"/>
        <item x="17"/>
        <item x="10"/>
        <item x="6"/>
        <item x="9"/>
        <item x="20"/>
        <item x="7"/>
        <item x="19"/>
        <item x="0"/>
        <item x="5"/>
        <item x="22"/>
        <item x="16"/>
        <item x="2"/>
        <item x="1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"/>
  </rowFields>
  <rowItems count="24">
    <i>
      <x v="3"/>
    </i>
    <i>
      <x v="15"/>
    </i>
    <i>
      <x v="8"/>
    </i>
    <i>
      <x v="4"/>
    </i>
    <i>
      <x v="9"/>
    </i>
    <i>
      <x v="16"/>
    </i>
    <i>
      <x v="7"/>
    </i>
    <i>
      <x v="11"/>
    </i>
    <i>
      <x v="14"/>
    </i>
    <i>
      <x v="12"/>
    </i>
    <i>
      <x v="22"/>
    </i>
    <i>
      <x v="5"/>
    </i>
    <i>
      <x v="2"/>
    </i>
    <i>
      <x v="18"/>
    </i>
    <i>
      <x v="1"/>
    </i>
    <i>
      <x v="21"/>
    </i>
    <i>
      <x v="10"/>
    </i>
    <i>
      <x v="17"/>
    </i>
    <i>
      <x v="19"/>
    </i>
    <i>
      <x/>
    </i>
    <i>
      <x v="20"/>
    </i>
    <i>
      <x v="6"/>
    </i>
    <i>
      <x v="13"/>
    </i>
    <i t="grand">
      <x/>
    </i>
  </rowItems>
  <colItems count="1">
    <i/>
  </colItems>
  <dataFields count="1">
    <dataField name="Count of cust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1026C-FAE8-43B2-8A4F-3A4E53F30ADE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26" firstHeaderRow="1" firstDataRow="1" firstDataCol="1"/>
  <pivotFields count="25">
    <pivotField dataField="1" numFmtId="1" showAll="0"/>
    <pivotField showAll="0"/>
    <pivotField showAll="0"/>
    <pivotField showAll="0"/>
    <pivotField showAll="0"/>
    <pivotField showAll="0"/>
    <pivotField axis="axisRow" showAll="0" measureFilter="1" sortType="descending">
      <items count="31">
        <item x="18"/>
        <item x="4"/>
        <item x="5"/>
        <item x="25"/>
        <item x="24"/>
        <item x="6"/>
        <item x="22"/>
        <item x="1"/>
        <item x="26"/>
        <item x="16"/>
        <item x="28"/>
        <item x="21"/>
        <item x="8"/>
        <item x="27"/>
        <item x="15"/>
        <item x="0"/>
        <item x="12"/>
        <item x="10"/>
        <item x="19"/>
        <item x="3"/>
        <item x="11"/>
        <item x="20"/>
        <item x="2"/>
        <item x="13"/>
        <item x="29"/>
        <item x="9"/>
        <item x="7"/>
        <item x="17"/>
        <item x="2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 v="19"/>
    </i>
    <i>
      <x v="7"/>
    </i>
    <i>
      <x v="27"/>
    </i>
    <i>
      <x v="1"/>
    </i>
    <i>
      <x v="12"/>
    </i>
    <i>
      <x v="2"/>
    </i>
    <i>
      <x v="23"/>
    </i>
    <i>
      <x v="26"/>
    </i>
    <i>
      <x v="4"/>
    </i>
    <i>
      <x v="25"/>
    </i>
    <i t="grand">
      <x/>
    </i>
  </rowItems>
  <colItems count="1">
    <i/>
  </colItems>
  <dataFields count="1">
    <dataField name="Count  of Customers in each State" fld="0" subtotal="count" baseField="6" baseItem="7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627BA-A80C-4ECB-9BDF-B7EFE2DE2EAD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12" firstHeaderRow="1" firstDataRow="1" firstDataCol="1"/>
  <pivotFields count="25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ustomersCount" fld="0" subtotal="count" baseField="14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BCAA6-5550-4D00-B263-E5955473F742}" name="PivotTable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B5" firstHeaderRow="1" firstDataRow="1" firstDataCol="1"/>
  <pivotFields count="25">
    <pivotField dataField="1"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ustomersCount" fld="0" subtotal="count" baseField="23" baseItem="1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16FA99-DB38-4482-91C8-5C3A3645E541}" name="tblCustomers" displayName="tblCustomers" ref="A13:Y148" totalsRowShown="0" dataDxfId="27">
  <autoFilter ref="A13:Y148" xr:uid="{CB16FA99-DB38-4482-91C8-5C3A3645E541}"/>
  <tableColumns count="25">
    <tableColumn id="1" xr3:uid="{4F17A4D4-D100-45E3-A9CE-2B8883A6EA5B}" name="custId" dataDxfId="51"/>
    <tableColumn id="2" xr3:uid="{E1DEC12B-FF55-4644-BD9F-2075C1B1F0C6}" name="first_name" dataDxfId="50"/>
    <tableColumn id="3" xr3:uid="{13905737-69F3-41D5-9497-BF75ABD12CD8}" name="last_name" dataDxfId="49"/>
    <tableColumn id="4" xr3:uid="{5A73C574-8967-41CA-8C26-F3851F62B220}" name="company_name" dataDxfId="48"/>
    <tableColumn id="5" xr3:uid="{2FB353C4-B869-4BE3-ABB5-EEDC670F2728}" name="address" dataDxfId="47"/>
    <tableColumn id="6" xr3:uid="{63212009-03B9-4054-BEFB-C55299ABCEB0}" name="city" dataDxfId="46"/>
    <tableColumn id="7" xr3:uid="{D5BE17AA-4B98-42AC-BB54-A4FEC8B967B5}" name="state" dataDxfId="45"/>
    <tableColumn id="8" xr3:uid="{05C83136-05D5-45CA-9F07-76B4D6BC70E7}" name="zip" dataDxfId="44"/>
    <tableColumn id="9" xr3:uid="{23AD2C22-8C02-4EFB-93A3-BB4E4D3E2AF4}" name="full_name" dataDxfId="43">
      <calculatedColumnFormula>_xlfn.CONCAT(B14," ",C14)</calculatedColumnFormula>
    </tableColumn>
    <tableColumn id="10" xr3:uid="{806A7FD2-DDE1-4239-9A0E-7C4EFB2A4804}" name="displayname" dataDxfId="42">
      <calculatedColumnFormula>IF(I14=" ",D14,I14)</calculatedColumnFormula>
    </tableColumn>
    <tableColumn id="11" xr3:uid="{D06B2EF5-487D-45A6-9FF1-8F678318CDDF}" name="street_num" dataDxfId="41">
      <calculatedColumnFormula>_xlfn.TEXTBEFORE(E14, " ")</calculatedColumnFormula>
    </tableColumn>
    <tableColumn id="12" xr3:uid="{60EEB3E1-8C04-42AB-B0D2-B35BEA3A0FCB}" name="phone1" dataDxfId="40">
      <calculatedColumnFormula>VLOOKUP(A14,'Data Set 3 - Contacts'!$A$2:$F$136,5,FALSE)</calculatedColumnFormula>
    </tableColumn>
    <tableColumn id="13" xr3:uid="{26D7DB52-729D-462D-8D33-624F86243527}" name="phone2" dataDxfId="39">
      <calculatedColumnFormula>VLOOKUP(A14,'Data Set 3 - Contacts'!$A$2:$F$136,6,FALSE)</calculatedColumnFormula>
    </tableColumn>
    <tableColumn id="14" xr3:uid="{3AE77867-0EF3-4D55-B05F-4CDB38FED3EB}" name="email" dataDxfId="38">
      <calculatedColumnFormula>VLOOKUP(A14,'Data Set 3 - Contacts'!$A$2:$F$136,4,FALSE)</calculatedColumnFormula>
    </tableColumn>
    <tableColumn id="15" xr3:uid="{D8B5C1C2-0EE6-4648-87F5-3DF79DD08D13}" name="number_of_vehicles" dataDxfId="37">
      <calculatedColumnFormula>_xlfn.XLOOKUP(A14,'Data Set 2 - Vehicles'!$A$2:$A$158,'Data Set 2 - Vehicles'!$B$2:$B$158,0,0,-1)</calculatedColumnFormula>
    </tableColumn>
    <tableColumn id="16" xr3:uid="{E0FD22A9-184F-4AD8-B754-E088B84762C0}" name="vehicle1_name" dataDxfId="36">
      <calculatedColumnFormula>_xlfn.XLOOKUP(A14,'Data Set 2 - Vehicles'!$A$2:$A$158,'Data Set 2 - Vehicles'!$E$2:$E$158,"Not Found",0,1)</calculatedColumnFormula>
    </tableColumn>
    <tableColumn id="17" xr3:uid="{10CD8F64-8DF1-4867-99D3-7963E3AAED9D}" name="Vehcile-1 Comp Name" dataDxfId="35">
      <calculatedColumnFormula>IF(_xlfn.CONCAT(_xlfn.XLOOKUP(A14,'Data Set 2 - Vehicles'!$A$2:$A$158,'Data Set 2 - Vehicles'!$D$2:$D$158,"Not Found",0,1)," ",_xlfn.XLOOKUP(A14,'Data Set 2 - Vehicles'!$A$2:$A$158,'Data Set 2 - Vehicles'!$E$2:$E$158,"Not Found",0,1))="Not Found Not Found", "Not Found",_xlfn.CONCAT(_xlfn.XLOOKUP(A14,'Data Set 2 - Vehicles'!$A$2:$A$158,'Data Set 2 - Vehicles'!$D$2:$D$158,"Not Found",0,1)," ",_xlfn.XLOOKUP(A14,'Data Set 2 - Vehicles'!$A$2:$A$158,'Data Set 2 - Vehicles'!$E$2:$E$158,"Not Found",0,1)))</calculatedColumnFormula>
    </tableColumn>
    <tableColumn id="18" xr3:uid="{40BB7644-D211-49F4-B240-82224BCD4487}" name="vehicle1_last_service_date" dataDxfId="34">
      <calculatedColumnFormula>_xlfn.XLOOKUP(A14,'Data Set 2 - Vehicles'!$A$2:$A$158,'Data Set 2 - Vehicles'!$O$2:$O$158,"",0,1)</calculatedColumnFormula>
    </tableColumn>
    <tableColumn id="19" xr3:uid="{62A3710C-65BE-4390-B7D4-60B202D61D26}" name="vehicle2_name" dataDxfId="33">
      <calculatedColumnFormula>IF(_xlfn.XLOOKUP(A14,'Data Set 2 - Vehicles'!$A$2:$A$158,'Data Set 2 - Vehicles'!$E$2:$E$158,"Has No Vehicle",0,-1)=P14,"Has Only One Vehicle",_xlfn.XLOOKUP(A14,'Data Set 2 - Vehicles'!$A$2:$A$158,'Data Set 2 - Vehicles'!$E$2:$E$158,"Has No Vehcile",0,-1))</calculatedColumnFormula>
    </tableColumn>
    <tableColumn id="20" xr3:uid="{5D489C13-425A-45E9-8EE3-421A9A314CD7}" name="Vehcile-2 Comp Name" dataDxfId="32">
      <calculatedColumnFormula>_xlfn.LET(_xlpm.mfcname,_xlfn.XLOOKUP(A14,'Data Set 2 - Vehicles'!$A$2:$A$158,'Data Set 2 - Vehicles'!$D$2:$D$158,"NF",0,-1),_xlpm.mdlname,_xlfn.XLOOKUP(A14,'Data Set 2 - Vehicles'!$A$2:$A$158,'Data Set 2 - Vehicles'!$E$2:$E$158,"NF",0,-1),_xlpm.vehcilename,_xlfn.CONCAT(_xlpm.mfcname," ",_xlpm.mdlname),IF(S14="Has No Vehicle","Has No Vehicle",IF(S14="Has Only One Vehicle","Has Only One Vehicle",IF(_xlpm.vehcilename="NF NF","Not Found",_xlpm.vehcilename))))</calculatedColumnFormula>
    </tableColumn>
    <tableColumn id="21" xr3:uid="{49695060-9925-4639-8932-042600AE45E6}" name="vehicle2_last_service_date" dataDxfId="31">
      <calculatedColumnFormula>_xlfn.LET(_xlpm.vserdate,_xlfn.XLOOKUP(A14,'Data Set 2 - Vehicles'!$A$2:$A$158,'Data Set 2 - Vehicles'!$O$2:$O$158,"NF",0,-1), IF(OR('Data Set 1'!S14="Has No Vehicle",'Data Set 1'!S14="Has Only One Vehicle"),'Data Set 1'!S14,_xlpm.vserdate))</calculatedColumnFormula>
    </tableColumn>
    <tableColumn id="22" xr3:uid="{E69A4C59-A220-4C5F-A0A9-5ED27A20167D}" name="total mileage" dataDxfId="30">
      <calculatedColumnFormula>SUMIF('Data Set 2 - Vehicles'!$A$2:$A$158,'Data Set 1'!A14,'Data Set 2 - Vehicles'!$Q$2:$Q$158)</calculatedColumnFormula>
    </tableColumn>
    <tableColumn id="23" xr3:uid="{97BAA4AB-B3B6-4EC6-B23D-D8E3EC9A9B3F}" name="customerlastservice" dataDxfId="29">
      <calculatedColumnFormula>_xlfn.LET(_xlpm.maxdate,_xlfn.MAXIFS('Data Set 2 - Vehicles'!$O$2:$O$158,'Data Set 2 - Vehicles'!$A$2:$A$158,'Data Set 1'!A14),IF(_xlpm.maxdate=0,"",_xlpm.maxdate))</calculatedColumnFormula>
    </tableColumn>
    <tableColumn id="24" xr3:uid="{C26F07F6-52EB-4F6B-ADB2-611844C49573}" name="status" dataDxfId="28">
      <calculatedColumnFormula>IF(W14="","No Service Record", IF(W14&lt;EDATE(TODAY(),-48),"InActive","Active"))</calculatedColumnFormula>
    </tableColumn>
    <tableColumn id="25" xr3:uid="{FC77B6BC-6398-4B9F-A511-A8873F69ECD5}" name="MileageBrackets" dataDxfId="0">
      <calculatedColumnFormula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95F168-BEAB-479C-8C6A-50DB485CCA60}" name="tblVehicles" displayName="tblVehicles" ref="A1:Q158" totalsRowShown="0" headerRowDxfId="8" dataDxfId="9">
  <autoFilter ref="A1:Q158" xr:uid="{00000000-0009-0000-0000-000001000000}"/>
  <tableColumns count="17">
    <tableColumn id="1" xr3:uid="{80CF0E48-AFD9-4281-B880-F2EC01A903B9}" name="custid" dataDxfId="26"/>
    <tableColumn id="2" xr3:uid="{D9F5B9DD-0D03-48F7-93CA-992A57096763}" name="vehiclenum" dataDxfId="25"/>
    <tableColumn id="3" xr3:uid="{E7377089-47C9-4252-BC5A-00434DEB6B1C}" name="Year" dataDxfId="24"/>
    <tableColumn id="4" xr3:uid="{48515C47-C521-431D-BCAA-57032CE5288C}" name="Manufacturer" dataDxfId="23"/>
    <tableColumn id="5" xr3:uid="{E3408E8F-E7E8-4194-8290-9004F11110AD}" name="Model" dataDxfId="22"/>
    <tableColumn id="6" xr3:uid="{553AD632-BDA7-42CC-8C8B-85C6F74B80DA}" name="Price_in_thousands" dataDxfId="21"/>
    <tableColumn id="7" xr3:uid="{94EAC73A-74AC-489A-8E4E-30D28D11A09E}" name="Engine_size" dataDxfId="20"/>
    <tableColumn id="8" xr3:uid="{B3E8E2E8-F398-4011-82F5-23B2444265FD}" name="Horsepower" dataDxfId="19"/>
    <tableColumn id="9" xr3:uid="{2F22FFEB-9F8C-47EA-8A5F-54A14853E420}" name="Wheelbase" dataDxfId="18"/>
    <tableColumn id="10" xr3:uid="{58395AFB-0991-40B5-B7CF-A3140C7E92A5}" name="Width" dataDxfId="17"/>
    <tableColumn id="11" xr3:uid="{7E95E231-DF69-4DA2-87F7-7C5350BBEFF1}" name="Length" dataDxfId="16"/>
    <tableColumn id="12" xr3:uid="{B8F57641-D6DF-4BB3-A68C-BC59F4EAEBB3}" name="Curb_weight" dataDxfId="15"/>
    <tableColumn id="13" xr3:uid="{2DD103BB-CB2F-4C72-BD83-CFEFE85C5620}" name="Fuel_capacity" dataDxfId="14"/>
    <tableColumn id="14" xr3:uid="{02D976FA-D0EB-466D-9237-0BFEE2C9699A}" name="Fuel_efficiency" dataDxfId="13"/>
    <tableColumn id="15" xr3:uid="{DA2FFCCA-ABD1-49B7-9F7D-5D4EF717DC59}" name="Latest_Service" dataDxfId="12"/>
    <tableColumn id="16" xr3:uid="{5418AE0E-D16C-4527-B4BD-2B6EF5508EF4}" name="Power_perf_factor" dataDxfId="11"/>
    <tableColumn id="17" xr3:uid="{FB2E1A1B-B85A-4B3D-8C7E-745A04351017}" name="mileage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C93A4F-7FF3-42E2-842A-6225AF5DDBC2}" name="tblContacts" displayName="tblContacts" ref="A1:F136" totalsRowShown="0" headerRowDxfId="1" dataDxfId="2">
  <autoFilter ref="A1:F136" xr:uid="{89C93A4F-7FF3-42E2-842A-6225AF5DDBC2}"/>
  <tableColumns count="6">
    <tableColumn id="1" xr3:uid="{82CF0B86-949A-4BDE-85CC-2FFEB918E6D0}" name="custId" dataDxfId="7"/>
    <tableColumn id="2" xr3:uid="{71E4D7A2-07CA-4E38-B095-D3A51D99A01B}" name="phone1" dataDxfId="6"/>
    <tableColumn id="3" xr3:uid="{F449719F-7F64-49E8-948D-C3FF3BABF179}" name="phone2" dataDxfId="5"/>
    <tableColumn id="4" xr3:uid="{965D9785-A7E5-4BF6-B3C2-96D05BAB2896}" name="email" dataDxfId="4"/>
    <tableColumn id="5" xr3:uid="{6904C677-8B5F-4103-B338-83F0404E635B}" name="CleanedPhone1" dataDxfId="3">
      <calculatedColumnFormula>IF(LEN(SUBSTITUTE(SUBSTITUTE(SUBSTITUTE(B2,"-",""),"(",""),")",""))&gt;10,RIGHT(SUBSTITUTE(SUBSTITUTE(SUBSTITUTE(B2,"-",""),"(",""),")",""),10),SUBSTITUTE(SUBSTITUTE(SUBSTITUTE(B2,"-",""),"(",""),")",""))</calculatedColumnFormula>
    </tableColumn>
    <tableColumn id="6" xr3:uid="{CB713451-BAFE-4865-A4B3-6D9758476716}" name="CleanedPhone2">
      <calculatedColumnFormula>IF(LEN(SUBSTITUTE(SUBSTITUTE(SUBSTITUTE(C2,"-",""),"(",""),")",""))&gt;10,RIGHT(SUBSTITUTE(SUBSTITUTE(SUBSTITUTE(C2,"-",""),"(",""),")",""),10),SUBSTITUTE(SUBSTITUTE(SUBSTITUTE(C2,"-",""),"(",""),")",""))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1"/>
  <sheetViews>
    <sheetView tabSelected="1" workbookViewId="0">
      <selection activeCell="I2" sqref="I2:L9"/>
    </sheetView>
  </sheetViews>
  <sheetFormatPr defaultColWidth="12.59765625" defaultRowHeight="15.75" customHeight="1" x14ac:dyDescent="0.35"/>
  <cols>
    <col min="1" max="1" width="9.9296875" style="19" bestFit="1" customWidth="1"/>
    <col min="2" max="2" width="14.1328125" customWidth="1"/>
    <col min="3" max="3" width="10.6640625" bestFit="1" customWidth="1"/>
    <col min="4" max="4" width="25.265625" bestFit="1" customWidth="1"/>
    <col min="5" max="5" width="21.3984375" bestFit="1" customWidth="1"/>
    <col min="6" max="6" width="13.265625" bestFit="1" customWidth="1"/>
    <col min="7" max="7" width="6.1328125" bestFit="1" customWidth="1"/>
    <col min="8" max="8" width="6.796875" customWidth="1"/>
    <col min="9" max="9" width="15.6640625" bestFit="1" customWidth="1"/>
    <col min="10" max="10" width="25.265625" bestFit="1" customWidth="1"/>
    <col min="11" max="11" width="11.46484375" bestFit="1" customWidth="1"/>
    <col min="12" max="12" width="11.53125" customWidth="1"/>
    <col min="14" max="14" width="27.19921875" bestFit="1" customWidth="1"/>
    <col min="15" max="15" width="18" customWidth="1"/>
    <col min="16" max="16" width="16.46484375" bestFit="1" customWidth="1"/>
    <col min="17" max="17" width="19.796875" bestFit="1" customWidth="1"/>
    <col min="18" max="18" width="23.3984375" style="23" bestFit="1" customWidth="1"/>
    <col min="19" max="19" width="16.6640625" bestFit="1" customWidth="1"/>
    <col min="20" max="20" width="19.796875" bestFit="1" customWidth="1"/>
    <col min="21" max="21" width="23.3984375" style="27" bestFit="1" customWidth="1"/>
    <col min="22" max="22" width="12.73046875" bestFit="1" customWidth="1"/>
    <col min="23" max="23" width="18.265625" style="23" bestFit="1" customWidth="1"/>
    <col min="24" max="24" width="14.06640625" bestFit="1" customWidth="1"/>
  </cols>
  <sheetData>
    <row r="1" spans="1:25" ht="12.75" x14ac:dyDescent="0.35">
      <c r="A1" s="15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5"/>
      <c r="S1" s="1"/>
      <c r="T1" s="1"/>
      <c r="U1" s="24"/>
      <c r="V1" s="1"/>
      <c r="W1" s="5"/>
      <c r="X1" s="1"/>
      <c r="Y1" s="1"/>
    </row>
    <row r="2" spans="1:25" ht="12.75" x14ac:dyDescent="0.35">
      <c r="A2" s="16" t="s">
        <v>51</v>
      </c>
      <c r="B2" s="1"/>
      <c r="C2" s="1"/>
      <c r="D2" s="1"/>
      <c r="E2" s="1"/>
      <c r="F2" s="1"/>
      <c r="G2" s="1"/>
      <c r="H2" s="1"/>
      <c r="I2" s="2" t="s">
        <v>58</v>
      </c>
      <c r="J2" s="1"/>
      <c r="K2" s="1"/>
      <c r="L2" s="1"/>
      <c r="M2" s="1"/>
      <c r="N2" s="1"/>
      <c r="O2" s="1"/>
      <c r="P2" s="1"/>
      <c r="Q2" s="1"/>
      <c r="R2" s="5"/>
      <c r="S2" s="1"/>
      <c r="T2" s="1"/>
      <c r="U2" s="24"/>
      <c r="V2" s="1"/>
      <c r="W2" s="5"/>
      <c r="X2" s="1"/>
      <c r="Y2" s="1"/>
    </row>
    <row r="3" spans="1:25" ht="12.75" x14ac:dyDescent="0.35">
      <c r="A3" s="17">
        <v>1</v>
      </c>
      <c r="B3" s="1" t="s">
        <v>77</v>
      </c>
      <c r="C3" s="1"/>
      <c r="D3" s="1"/>
      <c r="E3" s="1"/>
      <c r="F3" s="1"/>
      <c r="G3" s="1"/>
      <c r="H3" s="1"/>
      <c r="I3" s="6" t="s">
        <v>84</v>
      </c>
      <c r="J3" s="1" t="s">
        <v>86</v>
      </c>
      <c r="K3" s="1" t="s">
        <v>87</v>
      </c>
      <c r="L3" s="1" t="s">
        <v>88</v>
      </c>
      <c r="N3" s="1"/>
      <c r="O3" s="1"/>
      <c r="P3" s="1"/>
      <c r="Q3" s="1"/>
      <c r="R3" s="5"/>
      <c r="S3" s="1"/>
      <c r="T3" s="1"/>
      <c r="U3" s="24"/>
      <c r="V3" s="1"/>
      <c r="W3" s="5"/>
      <c r="X3" s="1"/>
      <c r="Y3" s="1"/>
    </row>
    <row r="4" spans="1:25" ht="12.75" x14ac:dyDescent="0.35">
      <c r="A4" s="17" t="s">
        <v>89</v>
      </c>
      <c r="B4" s="1" t="s">
        <v>90</v>
      </c>
      <c r="C4" s="1"/>
      <c r="D4" s="1"/>
      <c r="E4" s="1"/>
      <c r="F4" s="1"/>
      <c r="G4" s="1"/>
      <c r="H4" s="1"/>
      <c r="I4" s="1" t="s">
        <v>93</v>
      </c>
      <c r="J4" s="1" t="s">
        <v>94</v>
      </c>
      <c r="K4" s="1" t="s">
        <v>95</v>
      </c>
      <c r="L4" s="1" t="s">
        <v>96</v>
      </c>
      <c r="N4" s="1"/>
      <c r="O4" s="1"/>
      <c r="P4" s="1"/>
      <c r="Q4" s="1"/>
      <c r="R4" s="5"/>
      <c r="S4" s="1"/>
      <c r="T4" s="1"/>
      <c r="U4" s="24"/>
      <c r="V4" s="1"/>
      <c r="W4" s="5"/>
      <c r="X4" s="1"/>
      <c r="Y4" s="1"/>
    </row>
    <row r="5" spans="1:25" ht="12.75" x14ac:dyDescent="0.35">
      <c r="A5" s="17" t="s">
        <v>101</v>
      </c>
      <c r="B5" s="1" t="s">
        <v>102</v>
      </c>
      <c r="C5" s="1"/>
      <c r="D5" s="1"/>
      <c r="E5" s="1"/>
      <c r="F5" s="1"/>
      <c r="G5" s="1"/>
      <c r="H5" s="1"/>
      <c r="I5" s="1" t="s">
        <v>106</v>
      </c>
      <c r="J5" s="1" t="s">
        <v>107</v>
      </c>
      <c r="K5" s="1" t="s">
        <v>109</v>
      </c>
      <c r="L5" s="1" t="s">
        <v>110</v>
      </c>
      <c r="M5" s="6">
        <f>M6</f>
        <v>0</v>
      </c>
      <c r="N5" s="1"/>
      <c r="O5" s="1"/>
      <c r="P5" s="1"/>
      <c r="Q5" s="1"/>
      <c r="R5" s="5"/>
      <c r="S5" s="1"/>
      <c r="T5" s="1"/>
      <c r="U5" s="24"/>
      <c r="V5" s="1"/>
      <c r="W5" s="5"/>
      <c r="X5" s="1"/>
      <c r="Y5" s="1"/>
    </row>
    <row r="6" spans="1:25" ht="12.75" x14ac:dyDescent="0.35">
      <c r="A6" s="17" t="s">
        <v>167</v>
      </c>
      <c r="B6" s="1" t="s">
        <v>169</v>
      </c>
      <c r="C6" s="1"/>
      <c r="D6" s="1"/>
      <c r="E6" s="1"/>
      <c r="F6" s="1"/>
      <c r="G6" s="1"/>
      <c r="H6" s="1"/>
      <c r="I6" s="1" t="s">
        <v>173</v>
      </c>
      <c r="J6" s="1" t="s">
        <v>176</v>
      </c>
      <c r="K6" s="1" t="s">
        <v>177</v>
      </c>
      <c r="L6" s="1" t="s">
        <v>179</v>
      </c>
      <c r="N6" s="1"/>
      <c r="O6" s="1"/>
      <c r="P6" s="1"/>
      <c r="Q6" s="1"/>
      <c r="R6" s="5"/>
      <c r="S6" s="1"/>
      <c r="T6" s="1"/>
      <c r="U6" s="24"/>
      <c r="V6" s="1"/>
      <c r="W6" s="5"/>
      <c r="X6" s="1"/>
      <c r="Y6" s="1"/>
    </row>
    <row r="7" spans="1:25" ht="12.75" x14ac:dyDescent="0.35">
      <c r="A7" s="17">
        <v>2</v>
      </c>
      <c r="B7" s="1" t="s">
        <v>187</v>
      </c>
      <c r="C7" s="1"/>
      <c r="D7" s="1"/>
      <c r="E7" s="1"/>
      <c r="F7" s="1"/>
      <c r="G7" s="1"/>
      <c r="H7" s="1"/>
      <c r="I7" s="1" t="s">
        <v>192</v>
      </c>
      <c r="J7" s="1" t="s">
        <v>195</v>
      </c>
      <c r="K7" s="1" t="s">
        <v>197</v>
      </c>
      <c r="L7" s="6" t="s">
        <v>199</v>
      </c>
      <c r="N7" s="1"/>
      <c r="O7" s="1"/>
      <c r="P7" s="1"/>
      <c r="Q7" s="1"/>
      <c r="R7" s="5"/>
      <c r="S7" s="1"/>
      <c r="T7" s="1"/>
      <c r="U7" s="24"/>
      <c r="V7" s="1"/>
      <c r="W7" s="5"/>
      <c r="X7" s="1"/>
      <c r="Y7" s="1"/>
    </row>
    <row r="8" spans="1:25" ht="12.75" x14ac:dyDescent="0.35">
      <c r="A8" s="17">
        <v>3</v>
      </c>
      <c r="B8" s="1" t="s">
        <v>204</v>
      </c>
      <c r="C8" s="1"/>
      <c r="D8" s="1"/>
      <c r="E8" s="1"/>
      <c r="F8" s="1"/>
      <c r="G8" s="1"/>
      <c r="H8" s="1"/>
      <c r="I8" s="1" t="s">
        <v>207</v>
      </c>
      <c r="J8" s="1" t="s">
        <v>209</v>
      </c>
      <c r="K8" s="1" t="s">
        <v>210</v>
      </c>
      <c r="L8" s="6" t="s">
        <v>212</v>
      </c>
      <c r="N8" s="1"/>
      <c r="O8" s="1"/>
      <c r="P8" s="1"/>
      <c r="Q8" s="1"/>
      <c r="R8" s="5"/>
      <c r="S8" s="1"/>
      <c r="T8" s="1"/>
      <c r="U8" s="24"/>
      <c r="V8" s="1"/>
      <c r="W8" s="5"/>
      <c r="X8" s="1"/>
      <c r="Y8" s="1"/>
    </row>
    <row r="9" spans="1:25" ht="12.75" x14ac:dyDescent="0.35">
      <c r="A9" s="17">
        <v>4</v>
      </c>
      <c r="B9" s="1" t="s">
        <v>217</v>
      </c>
      <c r="C9" s="1"/>
      <c r="D9" s="1"/>
      <c r="E9" s="1"/>
      <c r="F9" s="1"/>
      <c r="G9" s="1"/>
      <c r="H9" s="1"/>
      <c r="I9" s="7" t="s">
        <v>221</v>
      </c>
      <c r="J9" s="1"/>
      <c r="K9" s="1"/>
      <c r="L9" s="1"/>
      <c r="M9" s="1"/>
      <c r="N9" s="1"/>
      <c r="O9" s="1"/>
      <c r="P9" s="1"/>
      <c r="Q9" s="1"/>
      <c r="R9" s="5"/>
      <c r="S9" s="1"/>
      <c r="T9" s="1"/>
      <c r="U9" s="24"/>
      <c r="V9" s="1"/>
      <c r="W9" s="5"/>
      <c r="X9" s="1"/>
      <c r="Y9" s="1"/>
    </row>
    <row r="10" spans="1:25" ht="12.75" x14ac:dyDescent="0.35">
      <c r="A10" s="15">
        <v>5</v>
      </c>
      <c r="B10" s="1" t="s">
        <v>233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5"/>
      <c r="S10" s="1"/>
      <c r="T10" s="1"/>
      <c r="U10" s="24"/>
      <c r="V10" s="1"/>
      <c r="W10" s="5"/>
      <c r="X10" s="1"/>
      <c r="Y10" s="1"/>
    </row>
    <row r="11" spans="1:25" ht="12.75" x14ac:dyDescent="0.35">
      <c r="A11" s="15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5"/>
      <c r="S11" s="1"/>
      <c r="T11" s="1"/>
      <c r="U11" s="24"/>
      <c r="V11" s="1"/>
      <c r="W11" s="5"/>
      <c r="X11" s="1"/>
      <c r="Y11" s="1"/>
    </row>
    <row r="12" spans="1:25" ht="3.75" customHeight="1" x14ac:dyDescent="0.35">
      <c r="A12" s="1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21"/>
      <c r="S12" s="8"/>
      <c r="T12" s="8"/>
      <c r="U12" s="25"/>
      <c r="V12" s="8"/>
      <c r="W12" s="21"/>
      <c r="X12" s="8"/>
      <c r="Y12" s="8"/>
    </row>
    <row r="13" spans="1:25" ht="12.75" x14ac:dyDescent="0.35">
      <c r="A13" s="16" t="s">
        <v>0</v>
      </c>
      <c r="B13" s="2" t="s">
        <v>315</v>
      </c>
      <c r="C13" s="2" t="s">
        <v>317</v>
      </c>
      <c r="D13" s="9" t="s">
        <v>320</v>
      </c>
      <c r="E13" s="2" t="s">
        <v>324</v>
      </c>
      <c r="F13" s="2" t="s">
        <v>325</v>
      </c>
      <c r="G13" s="10" t="s">
        <v>329</v>
      </c>
      <c r="H13" s="10" t="s">
        <v>334</v>
      </c>
      <c r="I13" s="2" t="s">
        <v>336</v>
      </c>
      <c r="J13" s="13" t="s">
        <v>339</v>
      </c>
      <c r="K13" s="2" t="s">
        <v>340</v>
      </c>
      <c r="L13" s="2" t="s">
        <v>3</v>
      </c>
      <c r="M13" s="2" t="s">
        <v>4</v>
      </c>
      <c r="N13" s="2" t="s">
        <v>6</v>
      </c>
      <c r="O13" s="2" t="s">
        <v>345</v>
      </c>
      <c r="P13" s="13" t="s">
        <v>347</v>
      </c>
      <c r="Q13" s="13" t="s">
        <v>1109</v>
      </c>
      <c r="R13" s="22" t="s">
        <v>350</v>
      </c>
      <c r="S13" s="2" t="s">
        <v>353</v>
      </c>
      <c r="T13" s="13" t="s">
        <v>1110</v>
      </c>
      <c r="U13" s="26" t="s">
        <v>357</v>
      </c>
      <c r="V13" s="2" t="s">
        <v>360</v>
      </c>
      <c r="W13" s="22" t="s">
        <v>361</v>
      </c>
      <c r="X13" s="2" t="s">
        <v>363</v>
      </c>
      <c r="Y13" s="1" t="s">
        <v>1122</v>
      </c>
    </row>
    <row r="14" spans="1:25" ht="12.75" x14ac:dyDescent="0.35">
      <c r="A14" s="15">
        <v>1475</v>
      </c>
      <c r="B14" s="1"/>
      <c r="C14" s="1"/>
      <c r="D14" s="7" t="s">
        <v>370</v>
      </c>
      <c r="E14" s="1" t="s">
        <v>371</v>
      </c>
      <c r="F14" s="1" t="s">
        <v>373</v>
      </c>
      <c r="G14" s="11" t="s">
        <v>376</v>
      </c>
      <c r="H14" s="11">
        <v>64504</v>
      </c>
      <c r="I14" s="1" t="str">
        <f>_xlfn.CONCAT(B14," ",C14)</f>
        <v xml:space="preserve"> </v>
      </c>
      <c r="J14" s="1" t="str">
        <f>IF(I14=" ",D14,I14)</f>
        <v>Acme Supply Co</v>
      </c>
      <c r="K14" s="1" t="str">
        <f>_xlfn.TEXTBEFORE(E14, " ")</f>
        <v>1953</v>
      </c>
      <c r="L14" s="1" t="str">
        <f>VLOOKUP(A14,'Data Set 3 - Contacts'!$A$2:$F$136,5,FALSE)</f>
        <v>8165579673</v>
      </c>
      <c r="M14" s="1" t="str">
        <f>VLOOKUP(A14,'Data Set 3 - Contacts'!$A$2:$F$136,6,FALSE)</f>
        <v/>
      </c>
      <c r="N14" s="1" t="str">
        <f>VLOOKUP(A14,'Data Set 3 - Contacts'!$A$2:$F$136,4,FALSE)</f>
        <v>diane@cox.net</v>
      </c>
      <c r="O14" s="1">
        <f>_xlfn.XLOOKUP(A14,'Data Set 2 - Vehicles'!$A$2:$A$158,'Data Set 2 - Vehicles'!$B$2:$B$158,0,0,-1)</f>
        <v>0</v>
      </c>
      <c r="P14" s="1" t="str">
        <f>_xlfn.XLOOKUP(A14,'Data Set 2 - Vehicles'!$A$2:$A$158,'Data Set 2 - Vehicles'!$E$2:$E$158,"Not Found",0,1)</f>
        <v>Not Found</v>
      </c>
      <c r="Q14" s="1" t="str">
        <f>IF(_xlfn.CONCAT(_xlfn.XLOOKUP(A14,'Data Set 2 - Vehicles'!$A$2:$A$158,'Data Set 2 - Vehicles'!$D$2:$D$158,"Not Found",0,1)," ",_xlfn.XLOOKUP(A14,'Data Set 2 - Vehicles'!$A$2:$A$158,'Data Set 2 - Vehicles'!$E$2:$E$158,"Not Found",0,1))="Not Found Not Found", "Not Found",_xlfn.CONCAT(_xlfn.XLOOKUP(A14,'Data Set 2 - Vehicles'!$A$2:$A$158,'Data Set 2 - Vehicles'!$D$2:$D$158,"Not Found",0,1)," ",_xlfn.XLOOKUP(A14,'Data Set 2 - Vehicles'!$A$2:$A$158,'Data Set 2 - Vehicles'!$E$2:$E$158,"Not Found",0,1)))</f>
        <v>Not Found</v>
      </c>
      <c r="R14" s="5" t="str">
        <f>_xlfn.XLOOKUP(A14,'Data Set 2 - Vehicles'!$A$2:$A$158,'Data Set 2 - Vehicles'!$O$2:$O$158,"",0,1)</f>
        <v/>
      </c>
      <c r="S14" s="1" t="str">
        <f>IF(_xlfn.XLOOKUP(A14,'Data Set 2 - Vehicles'!$A$2:$A$158,'Data Set 2 - Vehicles'!$E$2:$E$158,"Has No Vehicle",0,-1)=P14,"Has Only One Vehicle",_xlfn.XLOOKUP(A14,'Data Set 2 - Vehicles'!$A$2:$A$158,'Data Set 2 - Vehicles'!$E$2:$E$158,"Has No Vehicle",0,-1))</f>
        <v>Has No Vehicle</v>
      </c>
      <c r="T14" s="1" t="str">
        <f>_xlfn.LET(_xlpm.mfcname,_xlfn.XLOOKUP(A14,'Data Set 2 - Vehicles'!$A$2:$A$158,'Data Set 2 - Vehicles'!$D$2:$D$158,"NF",0,-1),_xlpm.mdlname,_xlfn.XLOOKUP(A14,'Data Set 2 - Vehicles'!$A$2:$A$158,'Data Set 2 - Vehicles'!$E$2:$E$158,"NF",0,-1),_xlpm.vehcilename,_xlfn.CONCAT(_xlpm.mfcname," ",_xlpm.mdlname),IF(S14="Has No Vehicle","Has No Vehicle",IF(S14="Has Only One Vehicle","Has Only One Vehicle",IF(_xlpm.vehcilename="NF NF","Not Found",_xlpm.vehcilename))))</f>
        <v>Has No Vehicle</v>
      </c>
      <c r="U14" s="24" t="str">
        <f>_xlfn.LET(_xlpm.vserdate,_xlfn.XLOOKUP(A14,'Data Set 2 - Vehicles'!$A$2:$A$158,'Data Set 2 - Vehicles'!$O$2:$O$158,"NF",0,-1), IF(OR('Data Set 1'!S14="Has No Vehicle",'Data Set 1'!S14="Has Only One Vehicle"),'Data Set 1'!S14,_xlpm.vserdate))</f>
        <v>Has No Vehicle</v>
      </c>
      <c r="V14" s="1">
        <f>SUMIF('Data Set 2 - Vehicles'!$A$2:$A$158,'Data Set 1'!A14,'Data Set 2 - Vehicles'!$Q$2:$Q$158)</f>
        <v>0</v>
      </c>
      <c r="W14" s="5" t="str">
        <f>_xlfn.LET(_xlpm.maxdate,_xlfn.MAXIFS('Data Set 2 - Vehicles'!$O$2:$O$158,'Data Set 2 - Vehicles'!$A$2:$A$158,'Data Set 1'!A14),IF(_xlpm.maxdate=0,"",_xlpm.maxdate))</f>
        <v/>
      </c>
      <c r="X14" s="1" t="str">
        <f ca="1">IF(W14="","No Service Record", IF(W14&lt;EDATE(TODAY(),-48),"InActive","Active"))</f>
        <v>No Service Record</v>
      </c>
      <c r="Y1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15" spans="1:25" ht="12.75" x14ac:dyDescent="0.35">
      <c r="A15" s="15">
        <v>1352</v>
      </c>
      <c r="B15" s="1"/>
      <c r="C15" s="1"/>
      <c r="D15" s="7" t="s">
        <v>385</v>
      </c>
      <c r="E15" s="1" t="s">
        <v>388</v>
      </c>
      <c r="F15" s="1" t="s">
        <v>389</v>
      </c>
      <c r="G15" s="11" t="s">
        <v>392</v>
      </c>
      <c r="H15" s="11">
        <v>60004</v>
      </c>
      <c r="I15" s="1" t="str">
        <f t="shared" ref="I15:I78" si="0">_xlfn.CONCAT(B15," ",C15)</f>
        <v xml:space="preserve"> </v>
      </c>
      <c r="J15" s="1" t="str">
        <f t="shared" ref="J15:J78" si="1">IF(I15=" ",D15,I15)</f>
        <v>Advantage Martgage Company</v>
      </c>
      <c r="K15" s="1" t="str">
        <f t="shared" ref="K15:K78" si="2">_xlfn.TEXTBEFORE(E15, " ")</f>
        <v>73</v>
      </c>
      <c r="L15" s="1" t="str">
        <f>VLOOKUP(A15,'Data Set 3 - Contacts'!$A$2:$F$136,5,FALSE)</f>
        <v>8473532156</v>
      </c>
      <c r="M15" s="1" t="str">
        <f>VLOOKUP(A15,'Data Set 3 - Contacts'!$A$2:$F$136,6,FALSE)</f>
        <v/>
      </c>
      <c r="N15" s="1" t="str">
        <f>VLOOKUP(A15,'Data Set 3 - Contacts'!$A$2:$F$136,4,FALSE)</f>
        <v>wacuff@gmail.com</v>
      </c>
      <c r="O15" s="1">
        <f>_xlfn.XLOOKUP(A15,'Data Set 2 - Vehicles'!$A$2:$A$158,'Data Set 2 - Vehicles'!$B$2:$B$158,0,0,-1)</f>
        <v>1</v>
      </c>
      <c r="P15" s="1" t="str">
        <f>_xlfn.XLOOKUP(A15,'Data Set 2 - Vehicles'!$A$2:$A$158,'Data Set 2 - Vehicles'!$E$2:$E$158,"Not Found",0,1)</f>
        <v>Mountaineer</v>
      </c>
      <c r="Q15" s="1" t="str">
        <f>IF(_xlfn.CONCAT(_xlfn.XLOOKUP(A15,'Data Set 2 - Vehicles'!$A$2:$A$158,'Data Set 2 - Vehicles'!$D$2:$D$158,"Not Found",0,1)," ",_xlfn.XLOOKUP(A15,'Data Set 2 - Vehicles'!$A$2:$A$158,'Data Set 2 - Vehicles'!$E$2:$E$158,"Not Found",0,1))="Not Found Not Found", "Not Found",_xlfn.CONCAT(_xlfn.XLOOKUP(A15,'Data Set 2 - Vehicles'!$A$2:$A$158,'Data Set 2 - Vehicles'!$D$2:$D$158,"Not Found",0,1)," ",_xlfn.XLOOKUP(A15,'Data Set 2 - Vehicles'!$A$2:$A$158,'Data Set 2 - Vehicles'!$E$2:$E$158,"Not Found",0,1)))</f>
        <v>Mercury Mountaineer</v>
      </c>
      <c r="R15" s="5">
        <f>_xlfn.XLOOKUP(A15,'Data Set 2 - Vehicles'!$A$2:$A$158,'Data Set 2 - Vehicles'!$O$2:$O$158,"",0,1)</f>
        <v>42413</v>
      </c>
      <c r="S15" s="1" t="str">
        <f>IF(_xlfn.XLOOKUP(A15,'Data Set 2 - Vehicles'!$A$2:$A$158,'Data Set 2 - Vehicles'!$E$2:$E$158,"Has No Vehicle",0,-1)=P15,"Has Only One Vehicle",_xlfn.XLOOKUP(A15,'Data Set 2 - Vehicles'!$A$2:$A$158,'Data Set 2 - Vehicles'!$E$2:$E$158,"Has No Vehcile",0,-1))</f>
        <v>Has Only One Vehicle</v>
      </c>
      <c r="T15" s="1" t="str">
        <f>_xlfn.LET(_xlpm.mfcname,_xlfn.XLOOKUP(A15,'Data Set 2 - Vehicles'!$A$2:$A$158,'Data Set 2 - Vehicles'!$D$2:$D$158,"NF",0,-1),_xlpm.mdlname,_xlfn.XLOOKUP(A15,'Data Set 2 - Vehicles'!$A$2:$A$158,'Data Set 2 - Vehicles'!$E$2:$E$158,"NF",0,-1),_xlpm.vehcilename,_xlfn.CONCAT(_xlpm.mfcname," ",_xlpm.mdlname),IF(S15="Has No Vehicle","Has No Vehicle",IF(S15="Has Only One Vehicle","Has Only One Vehicle",IF(_xlpm.vehcilename="NF NF","Not Found",_xlpm.vehcilename))))</f>
        <v>Has Only One Vehicle</v>
      </c>
      <c r="U15" s="24" t="str">
        <f>_xlfn.LET(_xlpm.vserdate,_xlfn.XLOOKUP(A15,'Data Set 2 - Vehicles'!$A$2:$A$158,'Data Set 2 - Vehicles'!$O$2:$O$158,"NF",0,-1), IF(OR('Data Set 1'!S15="Has No Vehicle",'Data Set 1'!S15="Has Only One Vehicle"),'Data Set 1'!S15,_xlpm.vserdate))</f>
        <v>Has Only One Vehicle</v>
      </c>
      <c r="V15" s="1">
        <f>SUMIF('Data Set 2 - Vehicles'!$A$2:$A$158,'Data Set 1'!A15,'Data Set 2 - Vehicles'!$Q$2:$Q$158)</f>
        <v>137028</v>
      </c>
      <c r="W15" s="5">
        <f>_xlfn.LET(_xlpm.maxdate,_xlfn.MAXIFS('Data Set 2 - Vehicles'!$O$2:$O$158,'Data Set 2 - Vehicles'!$A$2:$A$158,'Data Set 1'!A15),IF(_xlpm.maxdate=0,"",_xlpm.maxdate))</f>
        <v>42413</v>
      </c>
      <c r="X15" s="1" t="str">
        <f t="shared" ref="X15:X78" ca="1" si="3">IF(W15="","No Service Record", IF(W15&lt;EDATE(TODAY(),-48),"InActive","Active"))</f>
        <v>InActive</v>
      </c>
      <c r="Y1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6" spans="1:25" ht="12.75" x14ac:dyDescent="0.35">
      <c r="A16" s="15">
        <v>1076</v>
      </c>
      <c r="B16" s="1" t="s">
        <v>399</v>
      </c>
      <c r="C16" s="1" t="s">
        <v>400</v>
      </c>
      <c r="D16" s="7"/>
      <c r="E16" s="1" t="s">
        <v>402</v>
      </c>
      <c r="F16" s="1" t="s">
        <v>404</v>
      </c>
      <c r="G16" s="11" t="s">
        <v>405</v>
      </c>
      <c r="H16" s="11">
        <v>14895</v>
      </c>
      <c r="I16" s="1" t="str">
        <f t="shared" si="0"/>
        <v>Moon Parlato</v>
      </c>
      <c r="J16" s="1" t="str">
        <f t="shared" si="1"/>
        <v>Moon Parlato</v>
      </c>
      <c r="K16" s="1" t="str">
        <f t="shared" si="2"/>
        <v>74989</v>
      </c>
      <c r="L16" s="1" t="str">
        <f>VLOOKUP(A16,'Data Set 3 - Contacts'!$A$2:$F$136,5,FALSE)</f>
        <v>5858668313</v>
      </c>
      <c r="M16" s="1" t="str">
        <f>VLOOKUP(A16,'Data Set 3 - Contacts'!$A$2:$F$136,6,FALSE)</f>
        <v>5854984278</v>
      </c>
      <c r="N16" s="1" t="str">
        <f>VLOOKUP(A16,'Data Set 3 - Contacts'!$A$2:$F$136,4,FALSE)</f>
        <v>moon@yahoo.com</v>
      </c>
      <c r="O16" s="1">
        <f>_xlfn.XLOOKUP(A16,'Data Set 2 - Vehicles'!$A$2:$A$158,'Data Set 2 - Vehicles'!$B$2:$B$158,0,0,-1)</f>
        <v>2</v>
      </c>
      <c r="P16" s="1" t="str">
        <f>_xlfn.XLOOKUP(A16,'Data Set 2 - Vehicles'!$A$2:$A$158,'Data Set 2 - Vehicles'!$E$2:$E$158,"Not Found",0,1)</f>
        <v>F-Series</v>
      </c>
      <c r="Q16" s="1" t="str">
        <f>IF(_xlfn.CONCAT(_xlfn.XLOOKUP(A16,'Data Set 2 - Vehicles'!$A$2:$A$158,'Data Set 2 - Vehicles'!$D$2:$D$158,"Not Found",0,1)," ",_xlfn.XLOOKUP(A16,'Data Set 2 - Vehicles'!$A$2:$A$158,'Data Set 2 - Vehicles'!$E$2:$E$158,"Not Found",0,1))="Not Found Not Found", "Not Found",_xlfn.CONCAT(_xlfn.XLOOKUP(A16,'Data Set 2 - Vehicles'!$A$2:$A$158,'Data Set 2 - Vehicles'!$D$2:$D$158,"Not Found",0,1)," ",_xlfn.XLOOKUP(A16,'Data Set 2 - Vehicles'!$A$2:$A$158,'Data Set 2 - Vehicles'!$E$2:$E$158,"Not Found",0,1)))</f>
        <v>Ford F-Series</v>
      </c>
      <c r="R16" s="5">
        <f>_xlfn.XLOOKUP(A16,'Data Set 2 - Vehicles'!$A$2:$A$158,'Data Set 2 - Vehicles'!$O$2:$O$158,"",0,1)</f>
        <v>38580</v>
      </c>
      <c r="S16" s="1" t="str">
        <f>IF(_xlfn.XLOOKUP(A16,'Data Set 2 - Vehicles'!$A$2:$A$158,'Data Set 2 - Vehicles'!$E$2:$E$158,"Has No Vehicle",0,-1)=P16,"Has Only One Vehicle",_xlfn.XLOOKUP(A16,'Data Set 2 - Vehicles'!$A$2:$A$158,'Data Set 2 - Vehicles'!$E$2:$E$158,"Has No Vehcile",0,-1))</f>
        <v>Park Avenue</v>
      </c>
      <c r="T16" s="1" t="str">
        <f>_xlfn.LET(_xlpm.mfcname,_xlfn.XLOOKUP(A16,'Data Set 2 - Vehicles'!$A$2:$A$158,'Data Set 2 - Vehicles'!$D$2:$D$158,"NF",0,-1),_xlpm.mdlname,_xlfn.XLOOKUP(A16,'Data Set 2 - Vehicles'!$A$2:$A$158,'Data Set 2 - Vehicles'!$E$2:$E$158,"NF",0,-1),_xlpm.vehcilename,_xlfn.CONCAT(_xlpm.mfcname," ",_xlpm.mdlname),IF(S16="Has No Vehicle","Has No Vehicle",IF(S16="Has Only One Vehicle","Has Only One Vehicle",IF(_xlpm.vehcilename="NF NF","Not Found",_xlpm.vehcilename))))</f>
        <v>Buick Park Avenue</v>
      </c>
      <c r="U16" s="24">
        <f>_xlfn.LET(_xlpm.vserdate,_xlfn.XLOOKUP(A16,'Data Set 2 - Vehicles'!$A$2:$A$158,'Data Set 2 - Vehicles'!$O$2:$O$158,"NF",0,-1), IF(OR('Data Set 1'!S16="Has No Vehicle",'Data Set 1'!S16="Has Only One Vehicle"),'Data Set 1'!S16,_xlpm.vserdate))</f>
        <v>40625</v>
      </c>
      <c r="V16" s="1">
        <f>SUMIF('Data Set 2 - Vehicles'!$A$2:$A$158,'Data Set 1'!A16,'Data Set 2 - Vehicles'!$Q$2:$Q$158)</f>
        <v>518924</v>
      </c>
      <c r="W16" s="5">
        <f>_xlfn.LET(_xlpm.maxdate,_xlfn.MAXIFS('Data Set 2 - Vehicles'!$O$2:$O$158,'Data Set 2 - Vehicles'!$A$2:$A$158,'Data Set 1'!A16),IF(_xlpm.maxdate=0,"",_xlpm.maxdate))</f>
        <v>40625</v>
      </c>
      <c r="X16" s="1" t="str">
        <f t="shared" ca="1" si="3"/>
        <v>InActive</v>
      </c>
      <c r="Y1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7" spans="1:25" ht="12.75" x14ac:dyDescent="0.35">
      <c r="A17" s="15">
        <v>1180</v>
      </c>
      <c r="B17" s="1"/>
      <c r="C17" s="1"/>
      <c r="D17" s="7" t="s">
        <v>416</v>
      </c>
      <c r="E17" s="1" t="s">
        <v>417</v>
      </c>
      <c r="F17" s="1" t="s">
        <v>418</v>
      </c>
      <c r="G17" s="11" t="s">
        <v>419</v>
      </c>
      <c r="H17" s="11">
        <v>7652</v>
      </c>
      <c r="I17" s="1" t="str">
        <f t="shared" si="0"/>
        <v xml:space="preserve"> </v>
      </c>
      <c r="J17" s="1" t="str">
        <f t="shared" si="1"/>
        <v>Anchorage Museum Of Hist &amp; Art</v>
      </c>
      <c r="K17" s="1" t="str">
        <f t="shared" si="2"/>
        <v>3</v>
      </c>
      <c r="L17" s="1" t="str">
        <f>VLOOKUP(A17,'Data Set 3 - Contacts'!$A$2:$F$136,5,FALSE)</f>
        <v>2019711638</v>
      </c>
      <c r="M17" s="1" t="str">
        <f>VLOOKUP(A17,'Data Set 3 - Contacts'!$A$2:$F$136,6,FALSE)</f>
        <v>2012478925</v>
      </c>
      <c r="N17" s="1" t="str">
        <f>VLOOKUP(A17,'Data Set 3 - Contacts'!$A$2:$F$136,4,FALSE)</f>
        <v>nelida@gmail.com</v>
      </c>
      <c r="O17" s="1">
        <f>_xlfn.XLOOKUP(A17,'Data Set 2 - Vehicles'!$A$2:$A$158,'Data Set 2 - Vehicles'!$B$2:$B$158,0,0,-1)</f>
        <v>1</v>
      </c>
      <c r="P17" s="1" t="str">
        <f>_xlfn.XLOOKUP(A17,'Data Set 2 - Vehicles'!$A$2:$A$158,'Data Set 2 - Vehicles'!$E$2:$E$158,"Not Found",0,1)</f>
        <v>Intrepid</v>
      </c>
      <c r="Q17" s="1" t="str">
        <f>IF(_xlfn.CONCAT(_xlfn.XLOOKUP(A17,'Data Set 2 - Vehicles'!$A$2:$A$158,'Data Set 2 - Vehicles'!$D$2:$D$158,"Not Found",0,1)," ",_xlfn.XLOOKUP(A17,'Data Set 2 - Vehicles'!$A$2:$A$158,'Data Set 2 - Vehicles'!$E$2:$E$158,"Not Found",0,1))="Not Found Not Found", "Not Found",_xlfn.CONCAT(_xlfn.XLOOKUP(A17,'Data Set 2 - Vehicles'!$A$2:$A$158,'Data Set 2 - Vehicles'!$D$2:$D$158,"Not Found",0,1)," ",_xlfn.XLOOKUP(A17,'Data Set 2 - Vehicles'!$A$2:$A$158,'Data Set 2 - Vehicles'!$E$2:$E$158,"Not Found",0,1)))</f>
        <v>Dodge Intrepid</v>
      </c>
      <c r="R17" s="5">
        <f>_xlfn.XLOOKUP(A17,'Data Set 2 - Vehicles'!$A$2:$A$158,'Data Set 2 - Vehicles'!$O$2:$O$158,"",0,1)</f>
        <v>45079</v>
      </c>
      <c r="S17" s="1" t="str">
        <f>IF(_xlfn.XLOOKUP(A17,'Data Set 2 - Vehicles'!$A$2:$A$158,'Data Set 2 - Vehicles'!$E$2:$E$158,"Has No Vehicle",0,-1)=P17,"Has Only One Vehicle",_xlfn.XLOOKUP(A17,'Data Set 2 - Vehicles'!$A$2:$A$158,'Data Set 2 - Vehicles'!$E$2:$E$158,"Has No Vehcile",0,-1))</f>
        <v>Has Only One Vehicle</v>
      </c>
      <c r="T17" s="1" t="str">
        <f>_xlfn.LET(_xlpm.mfcname,_xlfn.XLOOKUP(A17,'Data Set 2 - Vehicles'!$A$2:$A$158,'Data Set 2 - Vehicles'!$D$2:$D$158,"NF",0,-1),_xlpm.mdlname,_xlfn.XLOOKUP(A17,'Data Set 2 - Vehicles'!$A$2:$A$158,'Data Set 2 - Vehicles'!$E$2:$E$158,"NF",0,-1),_xlpm.vehcilename,_xlfn.CONCAT(_xlpm.mfcname," ",_xlpm.mdlname),IF(S17="Has No Vehicle","Has No Vehicle",IF(S17="Has Only One Vehicle","Has Only One Vehicle",IF(_xlpm.vehcilename="NF NF","Not Found",_xlpm.vehcilename))))</f>
        <v>Has Only One Vehicle</v>
      </c>
      <c r="U17" s="24" t="str">
        <f>_xlfn.LET(_xlpm.vserdate,_xlfn.XLOOKUP(A17,'Data Set 2 - Vehicles'!$A$2:$A$158,'Data Set 2 - Vehicles'!$O$2:$O$158,"NF",0,-1), IF(OR('Data Set 1'!S17="Has No Vehicle",'Data Set 1'!S17="Has Only One Vehicle"),'Data Set 1'!S17,_xlpm.vserdate))</f>
        <v>Has Only One Vehicle</v>
      </c>
      <c r="V17" s="1">
        <f>SUMIF('Data Set 2 - Vehicles'!$A$2:$A$158,'Data Set 1'!A17,'Data Set 2 - Vehicles'!$Q$2:$Q$158)</f>
        <v>247285</v>
      </c>
      <c r="W17" s="5">
        <f>_xlfn.LET(_xlpm.maxdate,_xlfn.MAXIFS('Data Set 2 - Vehicles'!$O$2:$O$158,'Data Set 2 - Vehicles'!$A$2:$A$158,'Data Set 1'!A17),IF(_xlpm.maxdate=0,"",_xlpm.maxdate))</f>
        <v>45079</v>
      </c>
      <c r="X17" s="1" t="str">
        <f t="shared" ca="1" si="3"/>
        <v>Active</v>
      </c>
      <c r="Y1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8" spans="1:25" ht="12.75" x14ac:dyDescent="0.35">
      <c r="A18" s="15">
        <v>1177</v>
      </c>
      <c r="B18" s="1" t="s">
        <v>427</v>
      </c>
      <c r="C18" s="1" t="s">
        <v>428</v>
      </c>
      <c r="D18" s="7" t="s">
        <v>429</v>
      </c>
      <c r="E18" s="1" t="s">
        <v>431</v>
      </c>
      <c r="F18" s="1" t="s">
        <v>433</v>
      </c>
      <c r="G18" s="11" t="s">
        <v>435</v>
      </c>
      <c r="H18" s="11">
        <v>94710</v>
      </c>
      <c r="I18" s="1" t="str">
        <f t="shared" si="0"/>
        <v>Joesph Degonia</v>
      </c>
      <c r="J18" s="1" t="str">
        <f t="shared" si="1"/>
        <v>Joesph Degonia</v>
      </c>
      <c r="K18" s="1" t="str">
        <f t="shared" si="2"/>
        <v>2887</v>
      </c>
      <c r="L18" s="1" t="str">
        <f>VLOOKUP(A18,'Data Set 3 - Contacts'!$A$2:$F$136,5,FALSE)</f>
        <v>5106779785</v>
      </c>
      <c r="M18" s="1" t="str">
        <f>VLOOKUP(A18,'Data Set 3 - Contacts'!$A$2:$F$136,6,FALSE)</f>
        <v>5109425916</v>
      </c>
      <c r="N18" s="1" t="str">
        <f>VLOOKUP(A18,'Data Set 3 - Contacts'!$A$2:$F$136,4,FALSE)</f>
        <v>joesph_degonia@degonia.org</v>
      </c>
      <c r="O18" s="1">
        <f>_xlfn.XLOOKUP(A18,'Data Set 2 - Vehicles'!$A$2:$A$158,'Data Set 2 - Vehicles'!$B$2:$B$158,0,0,-1)</f>
        <v>2</v>
      </c>
      <c r="P18" s="1" t="str">
        <f>_xlfn.XLOOKUP(A18,'Data Set 2 - Vehicles'!$A$2:$A$158,'Data Set 2 - Vehicles'!$E$2:$E$158,"Not Found",0,1)</f>
        <v>328i</v>
      </c>
      <c r="Q18" s="1" t="str">
        <f>IF(_xlfn.CONCAT(_xlfn.XLOOKUP(A18,'Data Set 2 - Vehicles'!$A$2:$A$158,'Data Set 2 - Vehicles'!$D$2:$D$158,"Not Found",0,1)," ",_xlfn.XLOOKUP(A18,'Data Set 2 - Vehicles'!$A$2:$A$158,'Data Set 2 - Vehicles'!$E$2:$E$158,"Not Found",0,1))="Not Found Not Found", "Not Found",_xlfn.CONCAT(_xlfn.XLOOKUP(A18,'Data Set 2 - Vehicles'!$A$2:$A$158,'Data Set 2 - Vehicles'!$D$2:$D$158,"Not Found",0,1)," ",_xlfn.XLOOKUP(A18,'Data Set 2 - Vehicles'!$A$2:$A$158,'Data Set 2 - Vehicles'!$E$2:$E$158,"Not Found",0,1)))</f>
        <v>BMW 328i</v>
      </c>
      <c r="R18" s="5">
        <f>_xlfn.XLOOKUP(A18,'Data Set 2 - Vehicles'!$A$2:$A$158,'Data Set 2 - Vehicles'!$O$2:$O$158,"",0,1)</f>
        <v>39111</v>
      </c>
      <c r="S18" s="1" t="str">
        <f>IF(_xlfn.XLOOKUP(A18,'Data Set 2 - Vehicles'!$A$2:$A$158,'Data Set 2 - Vehicles'!$E$2:$E$158,"Has No Vehicle",0,-1)=P18,"Has Only One Vehicle",_xlfn.XLOOKUP(A18,'Data Set 2 - Vehicles'!$A$2:$A$158,'Data Set 2 - Vehicles'!$E$2:$E$158,"Has No Vehcile",0,-1))</f>
        <v>Explorer</v>
      </c>
      <c r="T18" s="1" t="str">
        <f>_xlfn.LET(_xlpm.mfcname,_xlfn.XLOOKUP(A18,'Data Set 2 - Vehicles'!$A$2:$A$158,'Data Set 2 - Vehicles'!$D$2:$D$158,"NF",0,-1),_xlpm.mdlname,_xlfn.XLOOKUP(A18,'Data Set 2 - Vehicles'!$A$2:$A$158,'Data Set 2 - Vehicles'!$E$2:$E$158,"NF",0,-1),_xlpm.vehcilename,_xlfn.CONCAT(_xlpm.mfcname," ",_xlpm.mdlname),IF(S18="Has No Vehicle","Has No Vehicle",IF(S18="Has Only One Vehicle","Has Only One Vehicle",IF(_xlpm.vehcilename="NF NF","Not Found",_xlpm.vehcilename))))</f>
        <v>Ford Explorer</v>
      </c>
      <c r="U18" s="24">
        <f>_xlfn.LET(_xlpm.vserdate,_xlfn.XLOOKUP(A18,'Data Set 2 - Vehicles'!$A$2:$A$158,'Data Set 2 - Vehicles'!$O$2:$O$158,"NF",0,-1), IF(OR('Data Set 1'!S18="Has No Vehicle",'Data Set 1'!S18="Has Only One Vehicle"),'Data Set 1'!S18,_xlpm.vserdate))</f>
        <v>44676</v>
      </c>
      <c r="V18" s="1">
        <f>SUMIF('Data Set 2 - Vehicles'!$A$2:$A$158,'Data Set 1'!A18,'Data Set 2 - Vehicles'!$Q$2:$Q$158)</f>
        <v>356504</v>
      </c>
      <c r="W18" s="5">
        <f>_xlfn.LET(_xlpm.maxdate,_xlfn.MAXIFS('Data Set 2 - Vehicles'!$O$2:$O$158,'Data Set 2 - Vehicles'!$A$2:$A$158,'Data Set 1'!A18),IF(_xlpm.maxdate=0,"",_xlpm.maxdate))</f>
        <v>44676</v>
      </c>
      <c r="X18" s="1" t="str">
        <f t="shared" ca="1" si="3"/>
        <v>InActive</v>
      </c>
      <c r="Y1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9" spans="1:25" ht="12.75" x14ac:dyDescent="0.35">
      <c r="A19" s="17">
        <v>1132</v>
      </c>
      <c r="B19" s="1" t="s">
        <v>441</v>
      </c>
      <c r="C19" s="1" t="s">
        <v>442</v>
      </c>
      <c r="D19" s="7"/>
      <c r="E19" s="1" t="s">
        <v>444</v>
      </c>
      <c r="F19" s="1" t="s">
        <v>446</v>
      </c>
      <c r="G19" s="11" t="s">
        <v>448</v>
      </c>
      <c r="H19" s="11">
        <v>80231</v>
      </c>
      <c r="I19" s="1" t="str">
        <f t="shared" si="0"/>
        <v>Howard Paulas</v>
      </c>
      <c r="J19" s="1" t="str">
        <f t="shared" si="1"/>
        <v>Howard Paulas</v>
      </c>
      <c r="K19" s="1" t="str">
        <f t="shared" si="2"/>
        <v>866</v>
      </c>
      <c r="L19" s="1" t="str">
        <f>VLOOKUP(A19,'Data Set 3 - Contacts'!$A$2:$F$136,5,FALSE)</f>
        <v>3036234241</v>
      </c>
      <c r="M19" s="1" t="str">
        <f>VLOOKUP(A19,'Data Set 3 - Contacts'!$A$2:$F$136,6,FALSE)</f>
        <v/>
      </c>
      <c r="N19" s="1" t="str">
        <f>VLOOKUP(A19,'Data Set 3 - Contacts'!$A$2:$F$136,4,FALSE)</f>
        <v>hpaulas@gmail.com</v>
      </c>
      <c r="O19" s="1">
        <f>_xlfn.XLOOKUP(A19,'Data Set 2 - Vehicles'!$A$2:$A$158,'Data Set 2 - Vehicles'!$B$2:$B$158,0,0,-1)</f>
        <v>2</v>
      </c>
      <c r="P19" s="1" t="str">
        <f>_xlfn.XLOOKUP(A19,'Data Set 2 - Vehicles'!$A$2:$A$158,'Data Set 2 - Vehicles'!$E$2:$E$158,"Not Found",0,1)</f>
        <v>Grand Am</v>
      </c>
      <c r="Q19" s="1" t="str">
        <f>IF(_xlfn.CONCAT(_xlfn.XLOOKUP(A19,'Data Set 2 - Vehicles'!$A$2:$A$158,'Data Set 2 - Vehicles'!$D$2:$D$158,"Not Found",0,1)," ",_xlfn.XLOOKUP(A19,'Data Set 2 - Vehicles'!$A$2:$A$158,'Data Set 2 - Vehicles'!$E$2:$E$158,"Not Found",0,1))="Not Found Not Found", "Not Found",_xlfn.CONCAT(_xlfn.XLOOKUP(A19,'Data Set 2 - Vehicles'!$A$2:$A$158,'Data Set 2 - Vehicles'!$D$2:$D$158,"Not Found",0,1)," ",_xlfn.XLOOKUP(A19,'Data Set 2 - Vehicles'!$A$2:$A$158,'Data Set 2 - Vehicles'!$E$2:$E$158,"Not Found",0,1)))</f>
        <v>Pontiac Grand Am</v>
      </c>
      <c r="R19" s="5">
        <f>_xlfn.XLOOKUP(A19,'Data Set 2 - Vehicles'!$A$2:$A$158,'Data Set 2 - Vehicles'!$O$2:$O$158,"",0,1)</f>
        <v>41969</v>
      </c>
      <c r="S19" s="1" t="str">
        <f>IF(_xlfn.XLOOKUP(A19,'Data Set 2 - Vehicles'!$A$2:$A$158,'Data Set 2 - Vehicles'!$E$2:$E$158,"Has No Vehicle",0,-1)=P19,"Has Only One Vehicle",_xlfn.XLOOKUP(A19,'Data Set 2 - Vehicles'!$A$2:$A$158,'Data Set 2 - Vehicles'!$E$2:$E$158,"Has No Vehcile",0,-1))</f>
        <v>4Runner</v>
      </c>
      <c r="T19" s="1" t="str">
        <f>_xlfn.LET(_xlpm.mfcname,_xlfn.XLOOKUP(A19,'Data Set 2 - Vehicles'!$A$2:$A$158,'Data Set 2 - Vehicles'!$D$2:$D$158,"NF",0,-1),_xlpm.mdlname,_xlfn.XLOOKUP(A19,'Data Set 2 - Vehicles'!$A$2:$A$158,'Data Set 2 - Vehicles'!$E$2:$E$158,"NF",0,-1),_xlpm.vehcilename,_xlfn.CONCAT(_xlpm.mfcname," ",_xlpm.mdlname),IF(S19="Has No Vehicle","Has No Vehicle",IF(S19="Has Only One Vehicle","Has Only One Vehicle",IF(_xlpm.vehcilename="NF NF","Not Found",_xlpm.vehcilename))))</f>
        <v>Toyota 4Runner</v>
      </c>
      <c r="U19" s="24">
        <f>_xlfn.LET(_xlpm.vserdate,_xlfn.XLOOKUP(A19,'Data Set 2 - Vehicles'!$A$2:$A$158,'Data Set 2 - Vehicles'!$O$2:$O$158,"NF",0,-1), IF(OR('Data Set 1'!S19="Has No Vehicle",'Data Set 1'!S19="Has Only One Vehicle"),'Data Set 1'!S19,_xlpm.vserdate))</f>
        <v>42436</v>
      </c>
      <c r="V19" s="1">
        <f>SUMIF('Data Set 2 - Vehicles'!$A$2:$A$158,'Data Set 1'!A19,'Data Set 2 - Vehicles'!$Q$2:$Q$158)</f>
        <v>329686</v>
      </c>
      <c r="W19" s="5">
        <f>_xlfn.LET(_xlpm.maxdate,_xlfn.MAXIFS('Data Set 2 - Vehicles'!$O$2:$O$158,'Data Set 2 - Vehicles'!$A$2:$A$158,'Data Set 1'!A19),IF(_xlpm.maxdate=0,"",_xlpm.maxdate))</f>
        <v>42436</v>
      </c>
      <c r="X19" s="1" t="str">
        <f t="shared" ca="1" si="3"/>
        <v>InActive</v>
      </c>
      <c r="Y1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20" spans="1:25" ht="12.75" x14ac:dyDescent="0.35">
      <c r="A20" s="17">
        <v>1372</v>
      </c>
      <c r="B20" s="1"/>
      <c r="C20" s="1"/>
      <c r="D20" s="7" t="s">
        <v>457</v>
      </c>
      <c r="E20" s="1" t="s">
        <v>459</v>
      </c>
      <c r="F20" s="1" t="s">
        <v>460</v>
      </c>
      <c r="G20" s="11" t="s">
        <v>461</v>
      </c>
      <c r="H20" s="11">
        <v>30340</v>
      </c>
      <c r="I20" s="1" t="str">
        <f t="shared" si="0"/>
        <v xml:space="preserve"> </v>
      </c>
      <c r="J20" s="1" t="str">
        <f t="shared" si="1"/>
        <v>Baird Kurtz &amp; Dobson</v>
      </c>
      <c r="K20" s="1" t="str">
        <f t="shared" si="2"/>
        <v>82</v>
      </c>
      <c r="L20" s="1" t="str">
        <f>VLOOKUP(A20,'Data Set 3 - Contacts'!$A$2:$F$136,5,FALSE)</f>
        <v>7708443447</v>
      </c>
      <c r="M20" s="1" t="str">
        <f>VLOOKUP(A20,'Data Set 3 - Contacts'!$A$2:$F$136,6,FALSE)</f>
        <v>7705844119</v>
      </c>
      <c r="N20" s="1" t="str">
        <f>VLOOKUP(A20,'Data Set 3 - Contacts'!$A$2:$F$136,4,FALSE)</f>
        <v>izetta.funnell@hotmail.com</v>
      </c>
      <c r="O20" s="1">
        <f>_xlfn.XLOOKUP(A20,'Data Set 2 - Vehicles'!$A$2:$A$158,'Data Set 2 - Vehicles'!$B$2:$B$158,0,0,-1)</f>
        <v>2</v>
      </c>
      <c r="P20" s="1" t="str">
        <f>_xlfn.XLOOKUP(A20,'Data Set 2 - Vehicles'!$A$2:$A$158,'Data Set 2 - Vehicles'!$E$2:$E$158,"Not Found",0,1)</f>
        <v>Tacoma</v>
      </c>
      <c r="Q20" s="1" t="str">
        <f>IF(_xlfn.CONCAT(_xlfn.XLOOKUP(A20,'Data Set 2 - Vehicles'!$A$2:$A$158,'Data Set 2 - Vehicles'!$D$2:$D$158,"Not Found",0,1)," ",_xlfn.XLOOKUP(A20,'Data Set 2 - Vehicles'!$A$2:$A$158,'Data Set 2 - Vehicles'!$E$2:$E$158,"Not Found",0,1))="Not Found Not Found", "Not Found",_xlfn.CONCAT(_xlfn.XLOOKUP(A20,'Data Set 2 - Vehicles'!$A$2:$A$158,'Data Set 2 - Vehicles'!$D$2:$D$158,"Not Found",0,1)," ",_xlfn.XLOOKUP(A20,'Data Set 2 - Vehicles'!$A$2:$A$158,'Data Set 2 - Vehicles'!$E$2:$E$158,"Not Found",0,1)))</f>
        <v>Toyota Tacoma</v>
      </c>
      <c r="R20" s="5">
        <f>_xlfn.XLOOKUP(A20,'Data Set 2 - Vehicles'!$A$2:$A$158,'Data Set 2 - Vehicles'!$O$2:$O$158,"",0,1)</f>
        <v>41122</v>
      </c>
      <c r="S20" s="1" t="str">
        <f>IF(_xlfn.XLOOKUP(A20,'Data Set 2 - Vehicles'!$A$2:$A$158,'Data Set 2 - Vehicles'!$E$2:$E$158,"Has No Vehicle",0,-1)=P20,"Has Only One Vehicle",_xlfn.XLOOKUP(A20,'Data Set 2 - Vehicles'!$A$2:$A$158,'Data Set 2 - Vehicles'!$E$2:$E$158,"Has No Vehcile",0,-1))</f>
        <v>Voyager</v>
      </c>
      <c r="T20" s="1" t="str">
        <f>_xlfn.LET(_xlpm.mfcname,_xlfn.XLOOKUP(A20,'Data Set 2 - Vehicles'!$A$2:$A$158,'Data Set 2 - Vehicles'!$D$2:$D$158,"NF",0,-1),_xlpm.mdlname,_xlfn.XLOOKUP(A20,'Data Set 2 - Vehicles'!$A$2:$A$158,'Data Set 2 - Vehicles'!$E$2:$E$158,"NF",0,-1),_xlpm.vehcilename,_xlfn.CONCAT(_xlpm.mfcname," ",_xlpm.mdlname),IF(S20="Has No Vehicle","Has No Vehicle",IF(S20="Has Only One Vehicle","Has Only One Vehicle",IF(_xlpm.vehcilename="NF NF","Not Found",_xlpm.vehcilename))))</f>
        <v>Plymouth Voyager</v>
      </c>
      <c r="U20" s="24">
        <f>_xlfn.LET(_xlpm.vserdate,_xlfn.XLOOKUP(A20,'Data Set 2 - Vehicles'!$A$2:$A$158,'Data Set 2 - Vehicles'!$O$2:$O$158,"NF",0,-1), IF(OR('Data Set 1'!S20="Has No Vehicle",'Data Set 1'!S20="Has Only One Vehicle"),'Data Set 1'!S20,_xlpm.vserdate))</f>
        <v>45040</v>
      </c>
      <c r="V20" s="1">
        <f>SUMIF('Data Set 2 - Vehicles'!$A$2:$A$158,'Data Set 1'!A20,'Data Set 2 - Vehicles'!$Q$2:$Q$158)</f>
        <v>331078</v>
      </c>
      <c r="W20" s="5">
        <f>_xlfn.LET(_xlpm.maxdate,_xlfn.MAXIFS('Data Set 2 - Vehicles'!$O$2:$O$158,'Data Set 2 - Vehicles'!$A$2:$A$158,'Data Set 1'!A20),IF(_xlpm.maxdate=0,"",_xlpm.maxdate))</f>
        <v>45040</v>
      </c>
      <c r="X20" s="1" t="str">
        <f t="shared" ca="1" si="3"/>
        <v>Active</v>
      </c>
      <c r="Y2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21" spans="1:25" ht="12.75" x14ac:dyDescent="0.35">
      <c r="A21" s="15">
        <v>1052</v>
      </c>
      <c r="B21" s="1" t="s">
        <v>471</v>
      </c>
      <c r="C21" s="1" t="s">
        <v>473</v>
      </c>
      <c r="D21" s="7" t="s">
        <v>474</v>
      </c>
      <c r="E21" s="1" t="s">
        <v>476</v>
      </c>
      <c r="F21" s="1" t="s">
        <v>477</v>
      </c>
      <c r="G21" s="11" t="s">
        <v>478</v>
      </c>
      <c r="H21" s="11">
        <v>37388</v>
      </c>
      <c r="I21" s="1" t="str">
        <f t="shared" si="0"/>
        <v>Lorrie Nestle</v>
      </c>
      <c r="J21" s="1" t="str">
        <f t="shared" si="1"/>
        <v>Lorrie Nestle</v>
      </c>
      <c r="K21" s="1" t="str">
        <f t="shared" si="2"/>
        <v>39</v>
      </c>
      <c r="L21" s="1" t="str">
        <f>VLOOKUP(A21,'Data Set 3 - Contacts'!$A$2:$F$136,5,FALSE)</f>
        <v>9318756644</v>
      </c>
      <c r="M21" s="1" t="str">
        <f>VLOOKUP(A21,'Data Set 3 - Contacts'!$A$2:$F$136,6,FALSE)</f>
        <v/>
      </c>
      <c r="N21" s="1" t="str">
        <f>VLOOKUP(A21,'Data Set 3 - Contacts'!$A$2:$F$136,4,FALSE)</f>
        <v>lnestle@hotmail.com</v>
      </c>
      <c r="O21" s="1">
        <f>_xlfn.XLOOKUP(A21,'Data Set 2 - Vehicles'!$A$2:$A$158,'Data Set 2 - Vehicles'!$B$2:$B$158,0,0,-1)</f>
        <v>1</v>
      </c>
      <c r="P21" s="1" t="str">
        <f>_xlfn.XLOOKUP(A21,'Data Set 2 - Vehicles'!$A$2:$A$158,'Data Set 2 - Vehicles'!$E$2:$E$158,"Not Found",0,1)</f>
        <v>LS400</v>
      </c>
      <c r="Q21" s="1" t="str">
        <f>IF(_xlfn.CONCAT(_xlfn.XLOOKUP(A21,'Data Set 2 - Vehicles'!$A$2:$A$158,'Data Set 2 - Vehicles'!$D$2:$D$158,"Not Found",0,1)," ",_xlfn.XLOOKUP(A21,'Data Set 2 - Vehicles'!$A$2:$A$158,'Data Set 2 - Vehicles'!$E$2:$E$158,"Not Found",0,1))="Not Found Not Found", "Not Found",_xlfn.CONCAT(_xlfn.XLOOKUP(A21,'Data Set 2 - Vehicles'!$A$2:$A$158,'Data Set 2 - Vehicles'!$D$2:$D$158,"Not Found",0,1)," ",_xlfn.XLOOKUP(A21,'Data Set 2 - Vehicles'!$A$2:$A$158,'Data Set 2 - Vehicles'!$E$2:$E$158,"Not Found",0,1)))</f>
        <v>Lexus LS400</v>
      </c>
      <c r="R21" s="5">
        <f>_xlfn.XLOOKUP(A21,'Data Set 2 - Vehicles'!$A$2:$A$158,'Data Set 2 - Vehicles'!$O$2:$O$158,"",0,1)</f>
        <v>45380</v>
      </c>
      <c r="S21" s="1" t="str">
        <f>IF(_xlfn.XLOOKUP(A21,'Data Set 2 - Vehicles'!$A$2:$A$158,'Data Set 2 - Vehicles'!$E$2:$E$158,"Has No Vehicle",0,-1)=P21,"Has Only One Vehicle",_xlfn.XLOOKUP(A21,'Data Set 2 - Vehicles'!$A$2:$A$158,'Data Set 2 - Vehicles'!$E$2:$E$158,"Has No Vehcile",0,-1))</f>
        <v>Has Only One Vehicle</v>
      </c>
      <c r="T21" s="1" t="str">
        <f>_xlfn.LET(_xlpm.mfcname,_xlfn.XLOOKUP(A21,'Data Set 2 - Vehicles'!$A$2:$A$158,'Data Set 2 - Vehicles'!$D$2:$D$158,"NF",0,-1),_xlpm.mdlname,_xlfn.XLOOKUP(A21,'Data Set 2 - Vehicles'!$A$2:$A$158,'Data Set 2 - Vehicles'!$E$2:$E$158,"NF",0,-1),_xlpm.vehcilename,_xlfn.CONCAT(_xlpm.mfcname," ",_xlpm.mdlname),IF(S21="Has No Vehicle","Has No Vehicle",IF(S21="Has Only One Vehicle","Has Only One Vehicle",IF(_xlpm.vehcilename="NF NF","Not Found",_xlpm.vehcilename))))</f>
        <v>Has Only One Vehicle</v>
      </c>
      <c r="U21" s="24" t="str">
        <f>_xlfn.LET(_xlpm.vserdate,_xlfn.XLOOKUP(A21,'Data Set 2 - Vehicles'!$A$2:$A$158,'Data Set 2 - Vehicles'!$O$2:$O$158,"NF",0,-1), IF(OR('Data Set 1'!S21="Has No Vehicle",'Data Set 1'!S21="Has Only One Vehicle"),'Data Set 1'!S21,_xlpm.vserdate))</f>
        <v>Has Only One Vehicle</v>
      </c>
      <c r="V21" s="1">
        <f>SUMIF('Data Set 2 - Vehicles'!$A$2:$A$158,'Data Set 1'!A21,'Data Set 2 - Vehicles'!$Q$2:$Q$158)</f>
        <v>92262</v>
      </c>
      <c r="W21" s="5">
        <f>_xlfn.LET(_xlpm.maxdate,_xlfn.MAXIFS('Data Set 2 - Vehicles'!$O$2:$O$158,'Data Set 2 - Vehicles'!$A$2:$A$158,'Data Set 1'!A21),IF(_xlpm.maxdate=0,"",_xlpm.maxdate))</f>
        <v>45380</v>
      </c>
      <c r="X21" s="1" t="str">
        <f t="shared" ca="1" si="3"/>
        <v>Active</v>
      </c>
      <c r="Y2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22" spans="1:25" ht="12.75" x14ac:dyDescent="0.35">
      <c r="A22" s="15">
        <v>1174</v>
      </c>
      <c r="B22" s="1" t="s">
        <v>488</v>
      </c>
      <c r="C22" s="1" t="s">
        <v>490</v>
      </c>
      <c r="D22" s="7"/>
      <c r="E22" s="1" t="s">
        <v>493</v>
      </c>
      <c r="F22" s="1" t="s">
        <v>494</v>
      </c>
      <c r="G22" s="11" t="s">
        <v>495</v>
      </c>
      <c r="H22" s="11">
        <v>21074</v>
      </c>
      <c r="I22" s="1" t="str">
        <f t="shared" si="0"/>
        <v>Sylvia Cousey</v>
      </c>
      <c r="J22" s="1" t="str">
        <f t="shared" si="1"/>
        <v>Sylvia Cousey</v>
      </c>
      <c r="K22" s="1" t="str">
        <f t="shared" si="2"/>
        <v>287</v>
      </c>
      <c r="L22" s="1" t="str">
        <f>VLOOKUP(A22,'Data Set 3 - Contacts'!$A$2:$F$136,5,FALSE)</f>
        <v>4102099545</v>
      </c>
      <c r="M22" s="1" t="str">
        <f>VLOOKUP(A22,'Data Set 3 - Contacts'!$A$2:$F$136,6,FALSE)</f>
        <v/>
      </c>
      <c r="N22" s="1" t="str">
        <f>VLOOKUP(A22,'Data Set 3 - Contacts'!$A$2:$F$136,4,FALSE)</f>
        <v>sylvia_cousey@cousey.org</v>
      </c>
      <c r="O22" s="1">
        <f>_xlfn.XLOOKUP(A22,'Data Set 2 - Vehicles'!$A$2:$A$158,'Data Set 2 - Vehicles'!$B$2:$B$158,0,0,-1)</f>
        <v>1</v>
      </c>
      <c r="P22" s="1" t="str">
        <f>_xlfn.XLOOKUP(A22,'Data Set 2 - Vehicles'!$A$2:$A$158,'Data Set 2 - Vehicles'!$E$2:$E$158,"Not Found",0,1)</f>
        <v>Sonata</v>
      </c>
      <c r="Q22" s="1" t="str">
        <f>IF(_xlfn.CONCAT(_xlfn.XLOOKUP(A22,'Data Set 2 - Vehicles'!$A$2:$A$158,'Data Set 2 - Vehicles'!$D$2:$D$158,"Not Found",0,1)," ",_xlfn.XLOOKUP(A22,'Data Set 2 - Vehicles'!$A$2:$A$158,'Data Set 2 - Vehicles'!$E$2:$E$158,"Not Found",0,1))="Not Found Not Found", "Not Found",_xlfn.CONCAT(_xlfn.XLOOKUP(A22,'Data Set 2 - Vehicles'!$A$2:$A$158,'Data Set 2 - Vehicles'!$D$2:$D$158,"Not Found",0,1)," ",_xlfn.XLOOKUP(A22,'Data Set 2 - Vehicles'!$A$2:$A$158,'Data Set 2 - Vehicles'!$E$2:$E$158,"Not Found",0,1)))</f>
        <v>Hyundai Sonata</v>
      </c>
      <c r="R22" s="5">
        <f>_xlfn.XLOOKUP(A22,'Data Set 2 - Vehicles'!$A$2:$A$158,'Data Set 2 - Vehicles'!$O$2:$O$158,"",0,1)</f>
        <v>44726</v>
      </c>
      <c r="S22" s="1" t="str">
        <f>IF(_xlfn.XLOOKUP(A22,'Data Set 2 - Vehicles'!$A$2:$A$158,'Data Set 2 - Vehicles'!$E$2:$E$158,"Has No Vehicle",0,-1)=P22,"Has Only One Vehicle",_xlfn.XLOOKUP(A22,'Data Set 2 - Vehicles'!$A$2:$A$158,'Data Set 2 - Vehicles'!$E$2:$E$158,"Has No Vehcile",0,-1))</f>
        <v>Has Only One Vehicle</v>
      </c>
      <c r="T22" s="1" t="str">
        <f>_xlfn.LET(_xlpm.mfcname,_xlfn.XLOOKUP(A22,'Data Set 2 - Vehicles'!$A$2:$A$158,'Data Set 2 - Vehicles'!$D$2:$D$158,"NF",0,-1),_xlpm.mdlname,_xlfn.XLOOKUP(A22,'Data Set 2 - Vehicles'!$A$2:$A$158,'Data Set 2 - Vehicles'!$E$2:$E$158,"NF",0,-1),_xlpm.vehcilename,_xlfn.CONCAT(_xlpm.mfcname," ",_xlpm.mdlname),IF(S22="Has No Vehicle","Has No Vehicle",IF(S22="Has Only One Vehicle","Has Only One Vehicle",IF(_xlpm.vehcilename="NF NF","Not Found",_xlpm.vehcilename))))</f>
        <v>Has Only One Vehicle</v>
      </c>
      <c r="U22" s="24" t="str">
        <f>_xlfn.LET(_xlpm.vserdate,_xlfn.XLOOKUP(A22,'Data Set 2 - Vehicles'!$A$2:$A$158,'Data Set 2 - Vehicles'!$O$2:$O$158,"NF",0,-1), IF(OR('Data Set 1'!S22="Has No Vehicle",'Data Set 1'!S22="Has Only One Vehicle"),'Data Set 1'!S22,_xlpm.vserdate))</f>
        <v>Has Only One Vehicle</v>
      </c>
      <c r="V22" s="1">
        <f>SUMIF('Data Set 2 - Vehicles'!$A$2:$A$158,'Data Set 1'!A22,'Data Set 2 - Vehicles'!$Q$2:$Q$158)</f>
        <v>161021</v>
      </c>
      <c r="W22" s="5">
        <f>_xlfn.LET(_xlpm.maxdate,_xlfn.MAXIFS('Data Set 2 - Vehicles'!$O$2:$O$158,'Data Set 2 - Vehicles'!$A$2:$A$158,'Data Set 1'!A22),IF(_xlpm.maxdate=0,"",_xlpm.maxdate))</f>
        <v>44726</v>
      </c>
      <c r="X22" s="1" t="str">
        <f t="shared" ca="1" si="3"/>
        <v>InActive</v>
      </c>
      <c r="Y2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23" spans="1:25" ht="12.75" x14ac:dyDescent="0.35">
      <c r="A23" s="15">
        <v>1340</v>
      </c>
      <c r="B23" s="1" t="s">
        <v>502</v>
      </c>
      <c r="C23" s="1" t="s">
        <v>504</v>
      </c>
      <c r="D23" s="7" t="s">
        <v>507</v>
      </c>
      <c r="E23" s="1" t="s">
        <v>509</v>
      </c>
      <c r="F23" s="1" t="s">
        <v>510</v>
      </c>
      <c r="G23" s="11" t="s">
        <v>448</v>
      </c>
      <c r="H23" s="11">
        <v>80937</v>
      </c>
      <c r="I23" s="1" t="str">
        <f t="shared" si="0"/>
        <v>Sherita Saras</v>
      </c>
      <c r="J23" s="1" t="str">
        <f t="shared" si="1"/>
        <v>Sherita Saras</v>
      </c>
      <c r="K23" s="1" t="str">
        <f t="shared" si="2"/>
        <v>8</v>
      </c>
      <c r="L23" s="1" t="str">
        <f>VLOOKUP(A23,'Data Set 3 - Contacts'!$A$2:$F$136,5,FALSE)</f>
        <v>7196691664</v>
      </c>
      <c r="M23" s="1" t="str">
        <f>VLOOKUP(A23,'Data Set 3 - Contacts'!$A$2:$F$136,6,FALSE)</f>
        <v>7195479543</v>
      </c>
      <c r="N23" s="1" t="str">
        <f>VLOOKUP(A23,'Data Set 3 - Contacts'!$A$2:$F$136,4,FALSE)</f>
        <v>sherita.saras@cox.net</v>
      </c>
      <c r="O23" s="1">
        <f>_xlfn.XLOOKUP(A23,'Data Set 2 - Vehicles'!$A$2:$A$158,'Data Set 2 - Vehicles'!$B$2:$B$158,0,0,-1)</f>
        <v>1</v>
      </c>
      <c r="P23" s="1" t="str">
        <f>_xlfn.XLOOKUP(A23,'Data Set 2 - Vehicles'!$A$2:$A$158,'Data Set 2 - Vehicles'!$E$2:$E$158,"Not Found",0,1)</f>
        <v>Outback</v>
      </c>
      <c r="Q23" s="1" t="str">
        <f>IF(_xlfn.CONCAT(_xlfn.XLOOKUP(A23,'Data Set 2 - Vehicles'!$A$2:$A$158,'Data Set 2 - Vehicles'!$D$2:$D$158,"Not Found",0,1)," ",_xlfn.XLOOKUP(A23,'Data Set 2 - Vehicles'!$A$2:$A$158,'Data Set 2 - Vehicles'!$E$2:$E$158,"Not Found",0,1))="Not Found Not Found", "Not Found",_xlfn.CONCAT(_xlfn.XLOOKUP(A23,'Data Set 2 - Vehicles'!$A$2:$A$158,'Data Set 2 - Vehicles'!$D$2:$D$158,"Not Found",0,1)," ",_xlfn.XLOOKUP(A23,'Data Set 2 - Vehicles'!$A$2:$A$158,'Data Set 2 - Vehicles'!$E$2:$E$158,"Not Found",0,1)))</f>
        <v>Subaru Outback</v>
      </c>
      <c r="R23" s="5">
        <f>_xlfn.XLOOKUP(A23,'Data Set 2 - Vehicles'!$A$2:$A$158,'Data Set 2 - Vehicles'!$O$2:$O$158,"",0,1)</f>
        <v>39636</v>
      </c>
      <c r="S23" s="1" t="str">
        <f>IF(_xlfn.XLOOKUP(A23,'Data Set 2 - Vehicles'!$A$2:$A$158,'Data Set 2 - Vehicles'!$E$2:$E$158,"Has No Vehicle",0,-1)=P23,"Has Only One Vehicle",_xlfn.XLOOKUP(A23,'Data Set 2 - Vehicles'!$A$2:$A$158,'Data Set 2 - Vehicles'!$E$2:$E$158,"Has No Vehcile",0,-1))</f>
        <v>Has Only One Vehicle</v>
      </c>
      <c r="T23" s="1" t="str">
        <f>_xlfn.LET(_xlpm.mfcname,_xlfn.XLOOKUP(A23,'Data Set 2 - Vehicles'!$A$2:$A$158,'Data Set 2 - Vehicles'!$D$2:$D$158,"NF",0,-1),_xlpm.mdlname,_xlfn.XLOOKUP(A23,'Data Set 2 - Vehicles'!$A$2:$A$158,'Data Set 2 - Vehicles'!$E$2:$E$158,"NF",0,-1),_xlpm.vehcilename,_xlfn.CONCAT(_xlpm.mfcname," ",_xlpm.mdlname),IF(S23="Has No Vehicle","Has No Vehicle",IF(S23="Has Only One Vehicle","Has Only One Vehicle",IF(_xlpm.vehcilename="NF NF","Not Found",_xlpm.vehcilename))))</f>
        <v>Has Only One Vehicle</v>
      </c>
      <c r="U23" s="24" t="str">
        <f>_xlfn.LET(_xlpm.vserdate,_xlfn.XLOOKUP(A23,'Data Set 2 - Vehicles'!$A$2:$A$158,'Data Set 2 - Vehicles'!$O$2:$O$158,"NF",0,-1), IF(OR('Data Set 1'!S23="Has No Vehicle",'Data Set 1'!S23="Has Only One Vehicle"),'Data Set 1'!S23,_xlpm.vserdate))</f>
        <v>Has Only One Vehicle</v>
      </c>
      <c r="V23" s="1">
        <f>SUMIF('Data Set 2 - Vehicles'!$A$2:$A$158,'Data Set 1'!A23,'Data Set 2 - Vehicles'!$Q$2:$Q$158)</f>
        <v>233054</v>
      </c>
      <c r="W23" s="5">
        <f>_xlfn.LET(_xlpm.maxdate,_xlfn.MAXIFS('Data Set 2 - Vehicles'!$O$2:$O$158,'Data Set 2 - Vehicles'!$A$2:$A$158,'Data Set 1'!A23),IF(_xlpm.maxdate=0,"",_xlpm.maxdate))</f>
        <v>39636</v>
      </c>
      <c r="X23" s="1" t="str">
        <f t="shared" ca="1" si="3"/>
        <v>InActive</v>
      </c>
      <c r="Y2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24" spans="1:25" ht="12.75" x14ac:dyDescent="0.35">
      <c r="A24" s="15">
        <v>1244</v>
      </c>
      <c r="B24" s="1" t="s">
        <v>517</v>
      </c>
      <c r="C24" s="1" t="s">
        <v>518</v>
      </c>
      <c r="D24" s="7"/>
      <c r="E24" s="1" t="s">
        <v>521</v>
      </c>
      <c r="F24" s="1" t="s">
        <v>523</v>
      </c>
      <c r="G24" s="11" t="s">
        <v>524</v>
      </c>
      <c r="H24" s="11">
        <v>18954</v>
      </c>
      <c r="I24" s="1" t="str">
        <f t="shared" si="0"/>
        <v>My Rantanen</v>
      </c>
      <c r="J24" s="1" t="str">
        <f t="shared" si="1"/>
        <v>My Rantanen</v>
      </c>
      <c r="K24" s="1" t="str">
        <f t="shared" si="2"/>
        <v>8</v>
      </c>
      <c r="L24" s="1" t="str">
        <f>VLOOKUP(A24,'Data Set 3 - Contacts'!$A$2:$F$136,5,FALSE)</f>
        <v>2154915633</v>
      </c>
      <c r="M24" s="1" t="str">
        <f>VLOOKUP(A24,'Data Set 3 - Contacts'!$A$2:$F$136,6,FALSE)</f>
        <v>2156472158</v>
      </c>
      <c r="N24" s="1" t="str">
        <f>VLOOKUP(A24,'Data Set 3 - Contacts'!$A$2:$F$136,4,FALSE)</f>
        <v>my@hotmail.com</v>
      </c>
      <c r="O24" s="1">
        <f>_xlfn.XLOOKUP(A24,'Data Set 2 - Vehicles'!$A$2:$A$158,'Data Set 2 - Vehicles'!$B$2:$B$158,0,0,-1)</f>
        <v>1</v>
      </c>
      <c r="P24" s="1" t="str">
        <f>_xlfn.XLOOKUP(A24,'Data Set 2 - Vehicles'!$A$2:$A$158,'Data Set 2 - Vehicles'!$E$2:$E$158,"Not Found",0,1)</f>
        <v>Civic</v>
      </c>
      <c r="Q24" s="1" t="str">
        <f>IF(_xlfn.CONCAT(_xlfn.XLOOKUP(A24,'Data Set 2 - Vehicles'!$A$2:$A$158,'Data Set 2 - Vehicles'!$D$2:$D$158,"Not Found",0,1)," ",_xlfn.XLOOKUP(A24,'Data Set 2 - Vehicles'!$A$2:$A$158,'Data Set 2 - Vehicles'!$E$2:$E$158,"Not Found",0,1))="Not Found Not Found", "Not Found",_xlfn.CONCAT(_xlfn.XLOOKUP(A24,'Data Set 2 - Vehicles'!$A$2:$A$158,'Data Set 2 - Vehicles'!$D$2:$D$158,"Not Found",0,1)," ",_xlfn.XLOOKUP(A24,'Data Set 2 - Vehicles'!$A$2:$A$158,'Data Set 2 - Vehicles'!$E$2:$E$158,"Not Found",0,1)))</f>
        <v>Honda Civic</v>
      </c>
      <c r="R24" s="5">
        <f>_xlfn.XLOOKUP(A24,'Data Set 2 - Vehicles'!$A$2:$A$158,'Data Set 2 - Vehicles'!$O$2:$O$158,"",0,1)</f>
        <v>45586</v>
      </c>
      <c r="S24" s="1" t="str">
        <f>IF(_xlfn.XLOOKUP(A24,'Data Set 2 - Vehicles'!$A$2:$A$158,'Data Set 2 - Vehicles'!$E$2:$E$158,"Has No Vehicle",0,-1)=P24,"Has Only One Vehicle",_xlfn.XLOOKUP(A24,'Data Set 2 - Vehicles'!$A$2:$A$158,'Data Set 2 - Vehicles'!$E$2:$E$158,"Has No Vehcile",0,-1))</f>
        <v>Has Only One Vehicle</v>
      </c>
      <c r="T24" s="1" t="str">
        <f>_xlfn.LET(_xlpm.mfcname,_xlfn.XLOOKUP(A24,'Data Set 2 - Vehicles'!$A$2:$A$158,'Data Set 2 - Vehicles'!$D$2:$D$158,"NF",0,-1),_xlpm.mdlname,_xlfn.XLOOKUP(A24,'Data Set 2 - Vehicles'!$A$2:$A$158,'Data Set 2 - Vehicles'!$E$2:$E$158,"NF",0,-1),_xlpm.vehcilename,_xlfn.CONCAT(_xlpm.mfcname," ",_xlpm.mdlname),IF(S24="Has No Vehicle","Has No Vehicle",IF(S24="Has Only One Vehicle","Has Only One Vehicle",IF(_xlpm.vehcilename="NF NF","Not Found",_xlpm.vehcilename))))</f>
        <v>Has Only One Vehicle</v>
      </c>
      <c r="U24" s="24" t="str">
        <f>_xlfn.LET(_xlpm.vserdate,_xlfn.XLOOKUP(A24,'Data Set 2 - Vehicles'!$A$2:$A$158,'Data Set 2 - Vehicles'!$O$2:$O$158,"NF",0,-1), IF(OR('Data Set 1'!S24="Has No Vehicle",'Data Set 1'!S24="Has Only One Vehicle"),'Data Set 1'!S24,_xlpm.vserdate))</f>
        <v>Has Only One Vehicle</v>
      </c>
      <c r="V24" s="1">
        <f>SUMIF('Data Set 2 - Vehicles'!$A$2:$A$158,'Data Set 1'!A24,'Data Set 2 - Vehicles'!$Q$2:$Q$158)</f>
        <v>290118</v>
      </c>
      <c r="W24" s="5">
        <f>_xlfn.LET(_xlpm.maxdate,_xlfn.MAXIFS('Data Set 2 - Vehicles'!$O$2:$O$158,'Data Set 2 - Vehicles'!$A$2:$A$158,'Data Set 1'!A24),IF(_xlpm.maxdate=0,"",_xlpm.maxdate))</f>
        <v>45586</v>
      </c>
      <c r="X24" s="1" t="str">
        <f t="shared" ca="1" si="3"/>
        <v>Active</v>
      </c>
      <c r="Y2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25" spans="1:25" ht="12.75" x14ac:dyDescent="0.35">
      <c r="A25" s="15">
        <v>1119</v>
      </c>
      <c r="B25" s="1" t="s">
        <v>531</v>
      </c>
      <c r="C25" s="1" t="s">
        <v>532</v>
      </c>
      <c r="D25" s="7"/>
      <c r="E25" s="1" t="s">
        <v>534</v>
      </c>
      <c r="F25" s="1" t="s">
        <v>536</v>
      </c>
      <c r="G25" s="11" t="s">
        <v>461</v>
      </c>
      <c r="H25" s="11">
        <v>31701</v>
      </c>
      <c r="I25" s="1" t="str">
        <f t="shared" si="0"/>
        <v>Scarlet Cartan</v>
      </c>
      <c r="J25" s="1" t="str">
        <f t="shared" si="1"/>
        <v>Scarlet Cartan</v>
      </c>
      <c r="K25" s="1" t="str">
        <f t="shared" si="2"/>
        <v>9390</v>
      </c>
      <c r="L25" s="1" t="str">
        <f>VLOOKUP(A25,'Data Set 3 - Contacts'!$A$2:$F$136,5,FALSE)</f>
        <v>2297353378</v>
      </c>
      <c r="M25" s="1" t="str">
        <f>VLOOKUP(A25,'Data Set 3 - Contacts'!$A$2:$F$136,6,FALSE)</f>
        <v/>
      </c>
      <c r="N25" s="1" t="str">
        <f>VLOOKUP(A25,'Data Set 3 - Contacts'!$A$2:$F$136,4,FALSE)</f>
        <v>scarlet.cartan@yahoo.com</v>
      </c>
      <c r="O25" s="1">
        <f>_xlfn.XLOOKUP(A25,'Data Set 2 - Vehicles'!$A$2:$A$158,'Data Set 2 - Vehicles'!$B$2:$B$158,0,0,-1)</f>
        <v>2</v>
      </c>
      <c r="P25" s="1" t="str">
        <f>_xlfn.XLOOKUP(A25,'Data Set 2 - Vehicles'!$A$2:$A$158,'Data Set 2 - Vehicles'!$E$2:$E$158,"Not Found",0,1)</f>
        <v>Carrera Cabrio</v>
      </c>
      <c r="Q25" s="1" t="str">
        <f>IF(_xlfn.CONCAT(_xlfn.XLOOKUP(A25,'Data Set 2 - Vehicles'!$A$2:$A$158,'Data Set 2 - Vehicles'!$D$2:$D$158,"Not Found",0,1)," ",_xlfn.XLOOKUP(A25,'Data Set 2 - Vehicles'!$A$2:$A$158,'Data Set 2 - Vehicles'!$E$2:$E$158,"Not Found",0,1))="Not Found Not Found", "Not Found",_xlfn.CONCAT(_xlfn.XLOOKUP(A25,'Data Set 2 - Vehicles'!$A$2:$A$158,'Data Set 2 - Vehicles'!$D$2:$D$158,"Not Found",0,1)," ",_xlfn.XLOOKUP(A25,'Data Set 2 - Vehicles'!$A$2:$A$158,'Data Set 2 - Vehicles'!$E$2:$E$158,"Not Found",0,1)))</f>
        <v>Porsche Carrera Cabrio</v>
      </c>
      <c r="R25" s="5">
        <f>_xlfn.XLOOKUP(A25,'Data Set 2 - Vehicles'!$A$2:$A$158,'Data Set 2 - Vehicles'!$O$2:$O$158,"",0,1)</f>
        <v>43292</v>
      </c>
      <c r="S25" s="1" t="str">
        <f>IF(_xlfn.XLOOKUP(A25,'Data Set 2 - Vehicles'!$A$2:$A$158,'Data Set 2 - Vehicles'!$E$2:$E$158,"Has No Vehicle",0,-1)=P25,"Has Only One Vehicle",_xlfn.XLOOKUP(A25,'Data Set 2 - Vehicles'!$A$2:$A$158,'Data Set 2 - Vehicles'!$E$2:$E$158,"Has No Vehcile",0,-1))</f>
        <v>Beetle</v>
      </c>
      <c r="T25" s="1" t="str">
        <f>_xlfn.LET(_xlpm.mfcname,_xlfn.XLOOKUP(A25,'Data Set 2 - Vehicles'!$A$2:$A$158,'Data Set 2 - Vehicles'!$D$2:$D$158,"NF",0,-1),_xlpm.mdlname,_xlfn.XLOOKUP(A25,'Data Set 2 - Vehicles'!$A$2:$A$158,'Data Set 2 - Vehicles'!$E$2:$E$158,"NF",0,-1),_xlpm.vehcilename,_xlfn.CONCAT(_xlpm.mfcname," ",_xlpm.mdlname),IF(S25="Has No Vehicle","Has No Vehicle",IF(S25="Has Only One Vehicle","Has Only One Vehicle",IF(_xlpm.vehcilename="NF NF","Not Found",_xlpm.vehcilename))))</f>
        <v>Volkswagen Beetle</v>
      </c>
      <c r="U25" s="24">
        <f>_xlfn.LET(_xlpm.vserdate,_xlfn.XLOOKUP(A25,'Data Set 2 - Vehicles'!$A$2:$A$158,'Data Set 2 - Vehicles'!$O$2:$O$158,"NF",0,-1), IF(OR('Data Set 1'!S25="Has No Vehicle",'Data Set 1'!S25="Has Only One Vehicle"),'Data Set 1'!S25,_xlpm.vserdate))</f>
        <v>44489</v>
      </c>
      <c r="V25" s="1">
        <f>SUMIF('Data Set 2 - Vehicles'!$A$2:$A$158,'Data Set 1'!A25,'Data Set 2 - Vehicles'!$Q$2:$Q$158)</f>
        <v>422795</v>
      </c>
      <c r="W25" s="5">
        <f>_xlfn.LET(_xlpm.maxdate,_xlfn.MAXIFS('Data Set 2 - Vehicles'!$O$2:$O$158,'Data Set 2 - Vehicles'!$A$2:$A$158,'Data Set 1'!A25),IF(_xlpm.maxdate=0,"",_xlpm.maxdate))</f>
        <v>44489</v>
      </c>
      <c r="X25" s="1" t="str">
        <f t="shared" ca="1" si="3"/>
        <v>InActive</v>
      </c>
      <c r="Y2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26" spans="1:25" ht="12.75" x14ac:dyDescent="0.35">
      <c r="A26" s="15">
        <v>1285</v>
      </c>
      <c r="B26" s="1"/>
      <c r="C26" s="1"/>
      <c r="D26" s="7" t="s">
        <v>544</v>
      </c>
      <c r="E26" s="1" t="s">
        <v>545</v>
      </c>
      <c r="F26" s="1" t="s">
        <v>546</v>
      </c>
      <c r="G26" s="11" t="s">
        <v>547</v>
      </c>
      <c r="H26" s="11">
        <v>58102</v>
      </c>
      <c r="I26" s="1" t="str">
        <f t="shared" si="0"/>
        <v xml:space="preserve"> </v>
      </c>
      <c r="J26" s="1" t="str">
        <f t="shared" si="1"/>
        <v>Bradley Nameplate Corp</v>
      </c>
      <c r="K26" s="1" t="str">
        <f t="shared" si="2"/>
        <v>87</v>
      </c>
      <c r="L26" s="1" t="str">
        <f>VLOOKUP(A26,'Data Set 3 - Contacts'!$A$2:$F$136,5,FALSE)</f>
        <v>7018982154</v>
      </c>
      <c r="M26" s="1" t="str">
        <f>VLOOKUP(A26,'Data Set 3 - Contacts'!$A$2:$F$136,6,FALSE)</f>
        <v>7014217080</v>
      </c>
      <c r="N26" s="1" t="str">
        <f>VLOOKUP(A26,'Data Set 3 - Contacts'!$A$2:$F$136,4,FALSE)</f>
        <v>lavonda@cox.net</v>
      </c>
      <c r="O26" s="1">
        <f>_xlfn.XLOOKUP(A26,'Data Set 2 - Vehicles'!$A$2:$A$158,'Data Set 2 - Vehicles'!$B$2:$B$158,0,0,-1)</f>
        <v>1</v>
      </c>
      <c r="P26" s="1" t="str">
        <f>_xlfn.XLOOKUP(A26,'Data Set 2 - Vehicles'!$A$2:$A$158,'Data Set 2 - Vehicles'!$E$2:$E$158,"Not Found",0,1)</f>
        <v>S-Type</v>
      </c>
      <c r="Q26" s="1" t="str">
        <f>IF(_xlfn.CONCAT(_xlfn.XLOOKUP(A26,'Data Set 2 - Vehicles'!$A$2:$A$158,'Data Set 2 - Vehicles'!$D$2:$D$158,"Not Found",0,1)," ",_xlfn.XLOOKUP(A26,'Data Set 2 - Vehicles'!$A$2:$A$158,'Data Set 2 - Vehicles'!$E$2:$E$158,"Not Found",0,1))="Not Found Not Found", "Not Found",_xlfn.CONCAT(_xlfn.XLOOKUP(A26,'Data Set 2 - Vehicles'!$A$2:$A$158,'Data Set 2 - Vehicles'!$D$2:$D$158,"Not Found",0,1)," ",_xlfn.XLOOKUP(A26,'Data Set 2 - Vehicles'!$A$2:$A$158,'Data Set 2 - Vehicles'!$E$2:$E$158,"Not Found",0,1)))</f>
        <v>Jaguar S-Type</v>
      </c>
      <c r="R26" s="5">
        <f>_xlfn.XLOOKUP(A26,'Data Set 2 - Vehicles'!$A$2:$A$158,'Data Set 2 - Vehicles'!$O$2:$O$158,"",0,1)</f>
        <v>44868</v>
      </c>
      <c r="S26" s="1" t="str">
        <f>IF(_xlfn.XLOOKUP(A26,'Data Set 2 - Vehicles'!$A$2:$A$158,'Data Set 2 - Vehicles'!$E$2:$E$158,"Has No Vehicle",0,-1)=P26,"Has Only One Vehicle",_xlfn.XLOOKUP(A26,'Data Set 2 - Vehicles'!$A$2:$A$158,'Data Set 2 - Vehicles'!$E$2:$E$158,"Has No Vehcile",0,-1))</f>
        <v>Has Only One Vehicle</v>
      </c>
      <c r="T26" s="1" t="str">
        <f>_xlfn.LET(_xlpm.mfcname,_xlfn.XLOOKUP(A26,'Data Set 2 - Vehicles'!$A$2:$A$158,'Data Set 2 - Vehicles'!$D$2:$D$158,"NF",0,-1),_xlpm.mdlname,_xlfn.XLOOKUP(A26,'Data Set 2 - Vehicles'!$A$2:$A$158,'Data Set 2 - Vehicles'!$E$2:$E$158,"NF",0,-1),_xlpm.vehcilename,_xlfn.CONCAT(_xlpm.mfcname," ",_xlpm.mdlname),IF(S26="Has No Vehicle","Has No Vehicle",IF(S26="Has Only One Vehicle","Has Only One Vehicle",IF(_xlpm.vehcilename="NF NF","Not Found",_xlpm.vehcilename))))</f>
        <v>Has Only One Vehicle</v>
      </c>
      <c r="U26" s="24" t="str">
        <f>_xlfn.LET(_xlpm.vserdate,_xlfn.XLOOKUP(A26,'Data Set 2 - Vehicles'!$A$2:$A$158,'Data Set 2 - Vehicles'!$O$2:$O$158,"NF",0,-1), IF(OR('Data Set 1'!S26="Has No Vehicle",'Data Set 1'!S26="Has Only One Vehicle"),'Data Set 1'!S26,_xlpm.vserdate))</f>
        <v>Has Only One Vehicle</v>
      </c>
      <c r="V26" s="1">
        <f>SUMIF('Data Set 2 - Vehicles'!$A$2:$A$158,'Data Set 1'!A26,'Data Set 2 - Vehicles'!$Q$2:$Q$158)</f>
        <v>234341</v>
      </c>
      <c r="W26" s="5">
        <f>_xlfn.LET(_xlpm.maxdate,_xlfn.MAXIFS('Data Set 2 - Vehicles'!$O$2:$O$158,'Data Set 2 - Vehicles'!$A$2:$A$158,'Data Set 1'!A26),IF(_xlpm.maxdate=0,"",_xlpm.maxdate))</f>
        <v>44868</v>
      </c>
      <c r="X26" s="1" t="str">
        <f t="shared" ca="1" si="3"/>
        <v>Active</v>
      </c>
      <c r="Y2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27" spans="1:25" ht="12.75" x14ac:dyDescent="0.35">
      <c r="A27" s="17">
        <v>1121</v>
      </c>
      <c r="B27" s="1"/>
      <c r="C27" s="1"/>
      <c r="D27" s="7" t="s">
        <v>549</v>
      </c>
      <c r="E27" s="1" t="s">
        <v>550</v>
      </c>
      <c r="F27" s="1" t="s">
        <v>552</v>
      </c>
      <c r="G27" s="11" t="s">
        <v>419</v>
      </c>
      <c r="H27" s="11">
        <v>7601</v>
      </c>
      <c r="I27" s="1" t="str">
        <f t="shared" si="0"/>
        <v xml:space="preserve"> </v>
      </c>
      <c r="J27" s="1" t="str">
        <f t="shared" si="1"/>
        <v>Bresler Eitel Framg Gllry Ltd</v>
      </c>
      <c r="K27" s="1" t="str">
        <f t="shared" si="2"/>
        <v>4646</v>
      </c>
      <c r="L27" s="1" t="str">
        <f>VLOOKUP(A27,'Data Set 3 - Contacts'!$A$2:$F$136,5,FALSE)</f>
        <v>2016721553</v>
      </c>
      <c r="M27" s="1" t="str">
        <f>VLOOKUP(A27,'Data Set 3 - Contacts'!$A$2:$F$136,6,FALSE)</f>
        <v/>
      </c>
      <c r="N27" s="1" t="str">
        <f>VLOOKUP(A27,'Data Set 3 - Contacts'!$A$2:$F$136,4,FALSE)</f>
        <v>tsmith@aol.com</v>
      </c>
      <c r="O27" s="1">
        <f>_xlfn.XLOOKUP(A27,'Data Set 2 - Vehicles'!$A$2:$A$158,'Data Set 2 - Vehicles'!$B$2:$B$158,0,0,-1)</f>
        <v>1</v>
      </c>
      <c r="P27" s="1" t="str">
        <f>_xlfn.XLOOKUP(A27,'Data Set 2 - Vehicles'!$A$2:$A$158,'Data Set 2 - Vehicles'!$E$2:$E$158,"Not Found",0,1)</f>
        <v>Ram Pickup</v>
      </c>
      <c r="Q27" s="1" t="str">
        <f>IF(_xlfn.CONCAT(_xlfn.XLOOKUP(A27,'Data Set 2 - Vehicles'!$A$2:$A$158,'Data Set 2 - Vehicles'!$D$2:$D$158,"Not Found",0,1)," ",_xlfn.XLOOKUP(A27,'Data Set 2 - Vehicles'!$A$2:$A$158,'Data Set 2 - Vehicles'!$E$2:$E$158,"Not Found",0,1))="Not Found Not Found", "Not Found",_xlfn.CONCAT(_xlfn.XLOOKUP(A27,'Data Set 2 - Vehicles'!$A$2:$A$158,'Data Set 2 - Vehicles'!$D$2:$D$158,"Not Found",0,1)," ",_xlfn.XLOOKUP(A27,'Data Set 2 - Vehicles'!$A$2:$A$158,'Data Set 2 - Vehicles'!$E$2:$E$158,"Not Found",0,1)))</f>
        <v>Dodge Ram Pickup</v>
      </c>
      <c r="R27" s="5">
        <f>_xlfn.XLOOKUP(A27,'Data Set 2 - Vehicles'!$A$2:$A$158,'Data Set 2 - Vehicles'!$O$2:$O$158,"",0,1)</f>
        <v>45357</v>
      </c>
      <c r="S27" s="1" t="str">
        <f>IF(_xlfn.XLOOKUP(A27,'Data Set 2 - Vehicles'!$A$2:$A$158,'Data Set 2 - Vehicles'!$E$2:$E$158,"Has No Vehicle",0,-1)=P27,"Has Only One Vehicle",_xlfn.XLOOKUP(A27,'Data Set 2 - Vehicles'!$A$2:$A$158,'Data Set 2 - Vehicles'!$E$2:$E$158,"Has No Vehcile",0,-1))</f>
        <v>Has Only One Vehicle</v>
      </c>
      <c r="T27" s="1" t="str">
        <f>_xlfn.LET(_xlpm.mfcname,_xlfn.XLOOKUP(A27,'Data Set 2 - Vehicles'!$A$2:$A$158,'Data Set 2 - Vehicles'!$D$2:$D$158,"NF",0,-1),_xlpm.mdlname,_xlfn.XLOOKUP(A27,'Data Set 2 - Vehicles'!$A$2:$A$158,'Data Set 2 - Vehicles'!$E$2:$E$158,"NF",0,-1),_xlpm.vehcilename,_xlfn.CONCAT(_xlpm.mfcname," ",_xlpm.mdlname),IF(S27="Has No Vehicle","Has No Vehicle",IF(S27="Has Only One Vehicle","Has Only One Vehicle",IF(_xlpm.vehcilename="NF NF","Not Found",_xlpm.vehcilename))))</f>
        <v>Has Only One Vehicle</v>
      </c>
      <c r="U27" s="24" t="str">
        <f>_xlfn.LET(_xlpm.vserdate,_xlfn.XLOOKUP(A27,'Data Set 2 - Vehicles'!$A$2:$A$158,'Data Set 2 - Vehicles'!$O$2:$O$158,"NF",0,-1), IF(OR('Data Set 1'!S27="Has No Vehicle",'Data Set 1'!S27="Has Only One Vehicle"),'Data Set 1'!S27,_xlpm.vserdate))</f>
        <v>Has Only One Vehicle</v>
      </c>
      <c r="V27" s="1">
        <f>SUMIF('Data Set 2 - Vehicles'!$A$2:$A$158,'Data Set 1'!A27,'Data Set 2 - Vehicles'!$Q$2:$Q$158)</f>
        <v>260003</v>
      </c>
      <c r="W27" s="5">
        <f>_xlfn.LET(_xlpm.maxdate,_xlfn.MAXIFS('Data Set 2 - Vehicles'!$O$2:$O$158,'Data Set 2 - Vehicles'!$A$2:$A$158,'Data Set 1'!A27),IF(_xlpm.maxdate=0,"",_xlpm.maxdate))</f>
        <v>45357</v>
      </c>
      <c r="X27" s="1" t="str">
        <f t="shared" ca="1" si="3"/>
        <v>Active</v>
      </c>
      <c r="Y2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28" spans="1:25" ht="12.75" x14ac:dyDescent="0.35">
      <c r="A28" s="17">
        <v>1411</v>
      </c>
      <c r="B28" s="1" t="s">
        <v>553</v>
      </c>
      <c r="C28" s="1" t="s">
        <v>554</v>
      </c>
      <c r="D28" s="7" t="s">
        <v>555</v>
      </c>
      <c r="E28" s="1" t="s">
        <v>556</v>
      </c>
      <c r="F28" s="1" t="s">
        <v>557</v>
      </c>
      <c r="G28" s="11" t="s">
        <v>448</v>
      </c>
      <c r="H28" s="11">
        <v>80110</v>
      </c>
      <c r="I28" s="1" t="str">
        <f t="shared" si="0"/>
        <v>Mitzie Hudnall</v>
      </c>
      <c r="J28" s="1" t="str">
        <f t="shared" si="1"/>
        <v>Mitzie Hudnall</v>
      </c>
      <c r="K28" s="1" t="str">
        <f t="shared" si="2"/>
        <v>17</v>
      </c>
      <c r="L28" s="1" t="str">
        <f>VLOOKUP(A28,'Data Set 3 - Contacts'!$A$2:$F$136,5,FALSE)</f>
        <v>3034021940</v>
      </c>
      <c r="M28" s="1" t="str">
        <f>VLOOKUP(A28,'Data Set 3 - Contacts'!$A$2:$F$136,6,FALSE)</f>
        <v>3039977760</v>
      </c>
      <c r="N28" s="1" t="str">
        <f>VLOOKUP(A28,'Data Set 3 - Contacts'!$A$2:$F$136,4,FALSE)</f>
        <v>mitzie_hudnall@yahoo.com</v>
      </c>
      <c r="O28" s="1">
        <f>_xlfn.XLOOKUP(A28,'Data Set 2 - Vehicles'!$A$2:$A$158,'Data Set 2 - Vehicles'!$B$2:$B$158,0,0,-1)</f>
        <v>1</v>
      </c>
      <c r="P28" s="1" t="str">
        <f>_xlfn.XLOOKUP(A28,'Data Set 2 - Vehicles'!$A$2:$A$158,'Data Set 2 - Vehicles'!$E$2:$E$158,"Not Found",0,1)</f>
        <v>Malibu</v>
      </c>
      <c r="Q28" s="1" t="str">
        <f>IF(_xlfn.CONCAT(_xlfn.XLOOKUP(A28,'Data Set 2 - Vehicles'!$A$2:$A$158,'Data Set 2 - Vehicles'!$D$2:$D$158,"Not Found",0,1)," ",_xlfn.XLOOKUP(A28,'Data Set 2 - Vehicles'!$A$2:$A$158,'Data Set 2 - Vehicles'!$E$2:$E$158,"Not Found",0,1))="Not Found Not Found", "Not Found",_xlfn.CONCAT(_xlfn.XLOOKUP(A28,'Data Set 2 - Vehicles'!$A$2:$A$158,'Data Set 2 - Vehicles'!$D$2:$D$158,"Not Found",0,1)," ",_xlfn.XLOOKUP(A28,'Data Set 2 - Vehicles'!$A$2:$A$158,'Data Set 2 - Vehicles'!$E$2:$E$158,"Not Found",0,1)))</f>
        <v>Chevrolet Malibu</v>
      </c>
      <c r="R28" s="5">
        <f>_xlfn.XLOOKUP(A28,'Data Set 2 - Vehicles'!$A$2:$A$158,'Data Set 2 - Vehicles'!$O$2:$O$158,"",0,1)</f>
        <v>44639</v>
      </c>
      <c r="S28" s="1" t="str">
        <f>IF(_xlfn.XLOOKUP(A28,'Data Set 2 - Vehicles'!$A$2:$A$158,'Data Set 2 - Vehicles'!$E$2:$E$158,"Has No Vehicle",0,-1)=P28,"Has Only One Vehicle",_xlfn.XLOOKUP(A28,'Data Set 2 - Vehicles'!$A$2:$A$158,'Data Set 2 - Vehicles'!$E$2:$E$158,"Has No Vehcile",0,-1))</f>
        <v>Has Only One Vehicle</v>
      </c>
      <c r="T28" s="1" t="str">
        <f>_xlfn.LET(_xlpm.mfcname,_xlfn.XLOOKUP(A28,'Data Set 2 - Vehicles'!$A$2:$A$158,'Data Set 2 - Vehicles'!$D$2:$D$158,"NF",0,-1),_xlpm.mdlname,_xlfn.XLOOKUP(A28,'Data Set 2 - Vehicles'!$A$2:$A$158,'Data Set 2 - Vehicles'!$E$2:$E$158,"NF",0,-1),_xlpm.vehcilename,_xlfn.CONCAT(_xlpm.mfcname," ",_xlpm.mdlname),IF(S28="Has No Vehicle","Has No Vehicle",IF(S28="Has Only One Vehicle","Has Only One Vehicle",IF(_xlpm.vehcilename="NF NF","Not Found",_xlpm.vehcilename))))</f>
        <v>Has Only One Vehicle</v>
      </c>
      <c r="U28" s="24" t="str">
        <f>_xlfn.LET(_xlpm.vserdate,_xlfn.XLOOKUP(A28,'Data Set 2 - Vehicles'!$A$2:$A$158,'Data Set 2 - Vehicles'!$O$2:$O$158,"NF",0,-1), IF(OR('Data Set 1'!S28="Has No Vehicle",'Data Set 1'!S28="Has Only One Vehicle"),'Data Set 1'!S28,_xlpm.vserdate))</f>
        <v>Has Only One Vehicle</v>
      </c>
      <c r="V28" s="1">
        <f>SUMIF('Data Set 2 - Vehicles'!$A$2:$A$158,'Data Set 1'!A28,'Data Set 2 - Vehicles'!$Q$2:$Q$158)</f>
        <v>148159</v>
      </c>
      <c r="W28" s="5">
        <f>_xlfn.LET(_xlpm.maxdate,_xlfn.MAXIFS('Data Set 2 - Vehicles'!$O$2:$O$158,'Data Set 2 - Vehicles'!$A$2:$A$158,'Data Set 1'!A28),IF(_xlpm.maxdate=0,"",_xlpm.maxdate))</f>
        <v>44639</v>
      </c>
      <c r="X28" s="1" t="str">
        <f t="shared" ca="1" si="3"/>
        <v>InActive</v>
      </c>
      <c r="Y2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29" spans="1:25" ht="12.75" x14ac:dyDescent="0.35">
      <c r="A29" s="15">
        <v>1466</v>
      </c>
      <c r="B29" s="1"/>
      <c r="C29" s="1"/>
      <c r="D29" s="7" t="s">
        <v>559</v>
      </c>
      <c r="E29" s="1" t="s">
        <v>560</v>
      </c>
      <c r="F29" s="1" t="s">
        <v>561</v>
      </c>
      <c r="G29" s="11" t="s">
        <v>392</v>
      </c>
      <c r="H29" s="11">
        <v>60007</v>
      </c>
      <c r="I29" s="1" t="str">
        <f t="shared" si="0"/>
        <v xml:space="preserve"> </v>
      </c>
      <c r="J29" s="1" t="str">
        <f t="shared" si="1"/>
        <v>Carriage House Cllsn Rpr Inc</v>
      </c>
      <c r="K29" s="1" t="str">
        <f t="shared" si="2"/>
        <v>35</v>
      </c>
      <c r="L29" s="1" t="str">
        <f>VLOOKUP(A29,'Data Set 3 - Contacts'!$A$2:$F$136,5,FALSE)</f>
        <v>8475195906</v>
      </c>
      <c r="M29" s="1" t="str">
        <f>VLOOKUP(A29,'Data Set 3 - Contacts'!$A$2:$F$136,6,FALSE)</f>
        <v>8477405304</v>
      </c>
      <c r="N29" s="1" t="str">
        <f>VLOOKUP(A29,'Data Set 3 - Contacts'!$A$2:$F$136,4,FALSE)</f>
        <v>joni_breland@cox.net</v>
      </c>
      <c r="O29" s="1">
        <f>_xlfn.XLOOKUP(A29,'Data Set 2 - Vehicles'!$A$2:$A$158,'Data Set 2 - Vehicles'!$B$2:$B$158,0,0,-1)</f>
        <v>1</v>
      </c>
      <c r="P29" s="1" t="str">
        <f>_xlfn.XLOOKUP(A29,'Data Set 2 - Vehicles'!$A$2:$A$158,'Data Set 2 - Vehicles'!$E$2:$E$158,"Not Found",0,1)</f>
        <v>3000GT</v>
      </c>
      <c r="Q29" s="1" t="str">
        <f>IF(_xlfn.CONCAT(_xlfn.XLOOKUP(A29,'Data Set 2 - Vehicles'!$A$2:$A$158,'Data Set 2 - Vehicles'!$D$2:$D$158,"Not Found",0,1)," ",_xlfn.XLOOKUP(A29,'Data Set 2 - Vehicles'!$A$2:$A$158,'Data Set 2 - Vehicles'!$E$2:$E$158,"Not Found",0,1))="Not Found Not Found", "Not Found",_xlfn.CONCAT(_xlfn.XLOOKUP(A29,'Data Set 2 - Vehicles'!$A$2:$A$158,'Data Set 2 - Vehicles'!$D$2:$D$158,"Not Found",0,1)," ",_xlfn.XLOOKUP(A29,'Data Set 2 - Vehicles'!$A$2:$A$158,'Data Set 2 - Vehicles'!$E$2:$E$158,"Not Found",0,1)))</f>
        <v>Mitsubishi 3000GT</v>
      </c>
      <c r="R29" s="5">
        <f>_xlfn.XLOOKUP(A29,'Data Set 2 - Vehicles'!$A$2:$A$158,'Data Set 2 - Vehicles'!$O$2:$O$158,"",0,1)</f>
        <v>42915</v>
      </c>
      <c r="S29" s="1" t="str">
        <f>IF(_xlfn.XLOOKUP(A29,'Data Set 2 - Vehicles'!$A$2:$A$158,'Data Set 2 - Vehicles'!$E$2:$E$158,"Has No Vehicle",0,-1)=P29,"Has Only One Vehicle",_xlfn.XLOOKUP(A29,'Data Set 2 - Vehicles'!$A$2:$A$158,'Data Set 2 - Vehicles'!$E$2:$E$158,"Has No Vehcile",0,-1))</f>
        <v>Has Only One Vehicle</v>
      </c>
      <c r="T29" s="1" t="str">
        <f>_xlfn.LET(_xlpm.mfcname,_xlfn.XLOOKUP(A29,'Data Set 2 - Vehicles'!$A$2:$A$158,'Data Set 2 - Vehicles'!$D$2:$D$158,"NF",0,-1),_xlpm.mdlname,_xlfn.XLOOKUP(A29,'Data Set 2 - Vehicles'!$A$2:$A$158,'Data Set 2 - Vehicles'!$E$2:$E$158,"NF",0,-1),_xlpm.vehcilename,_xlfn.CONCAT(_xlpm.mfcname," ",_xlpm.mdlname),IF(S29="Has No Vehicle","Has No Vehicle",IF(S29="Has Only One Vehicle","Has Only One Vehicle",IF(_xlpm.vehcilename="NF NF","Not Found",_xlpm.vehcilename))))</f>
        <v>Has Only One Vehicle</v>
      </c>
      <c r="U29" s="24" t="str">
        <f>_xlfn.LET(_xlpm.vserdate,_xlfn.XLOOKUP(A29,'Data Set 2 - Vehicles'!$A$2:$A$158,'Data Set 2 - Vehicles'!$O$2:$O$158,"NF",0,-1), IF(OR('Data Set 1'!S29="Has No Vehicle",'Data Set 1'!S29="Has Only One Vehicle"),'Data Set 1'!S29,_xlpm.vserdate))</f>
        <v>Has Only One Vehicle</v>
      </c>
      <c r="V29" s="1">
        <f>SUMIF('Data Set 2 - Vehicles'!$A$2:$A$158,'Data Set 1'!A29,'Data Set 2 - Vehicles'!$Q$2:$Q$158)</f>
        <v>146859</v>
      </c>
      <c r="W29" s="5">
        <f>_xlfn.LET(_xlpm.maxdate,_xlfn.MAXIFS('Data Set 2 - Vehicles'!$O$2:$O$158,'Data Set 2 - Vehicles'!$A$2:$A$158,'Data Set 1'!A29),IF(_xlpm.maxdate=0,"",_xlpm.maxdate))</f>
        <v>42915</v>
      </c>
      <c r="X29" s="1" t="str">
        <f t="shared" ca="1" si="3"/>
        <v>InActive</v>
      </c>
      <c r="Y2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30" spans="1:25" ht="12.75" x14ac:dyDescent="0.35">
      <c r="A30" s="15">
        <v>1113</v>
      </c>
      <c r="B30" s="1" t="s">
        <v>562</v>
      </c>
      <c r="C30" s="1" t="s">
        <v>563</v>
      </c>
      <c r="D30" s="7"/>
      <c r="E30" s="1" t="s">
        <v>565</v>
      </c>
      <c r="F30" s="1" t="s">
        <v>477</v>
      </c>
      <c r="G30" s="11" t="s">
        <v>478</v>
      </c>
      <c r="H30" s="11">
        <v>37388</v>
      </c>
      <c r="I30" s="1" t="str">
        <f t="shared" si="0"/>
        <v>Jesusa Shin</v>
      </c>
      <c r="J30" s="1" t="str">
        <f t="shared" si="1"/>
        <v>Jesusa Shin</v>
      </c>
      <c r="K30" s="1" t="str">
        <f t="shared" si="2"/>
        <v>2239</v>
      </c>
      <c r="L30" s="1" t="str">
        <f>VLOOKUP(A30,'Data Set 3 - Contacts'!$A$2:$F$136,5,FALSE)</f>
        <v>9312738709</v>
      </c>
      <c r="M30" s="1" t="str">
        <f>VLOOKUP(A30,'Data Set 3 - Contacts'!$A$2:$F$136,6,FALSE)</f>
        <v>9317391551</v>
      </c>
      <c r="N30" s="1" t="str">
        <f>VLOOKUP(A30,'Data Set 3 - Contacts'!$A$2:$F$136,4,FALSE)</f>
        <v>jshin@shin.com</v>
      </c>
      <c r="O30" s="1">
        <f>_xlfn.XLOOKUP(A30,'Data Set 2 - Vehicles'!$A$2:$A$158,'Data Set 2 - Vehicles'!$B$2:$B$158,0,0,-1)</f>
        <v>1</v>
      </c>
      <c r="P30" s="1" t="str">
        <f>_xlfn.XLOOKUP(A30,'Data Set 2 - Vehicles'!$A$2:$A$158,'Data Set 2 - Vehicles'!$E$2:$E$158,"Not Found",0,1)</f>
        <v>GS400</v>
      </c>
      <c r="Q30" s="1" t="str">
        <f>IF(_xlfn.CONCAT(_xlfn.XLOOKUP(A30,'Data Set 2 - Vehicles'!$A$2:$A$158,'Data Set 2 - Vehicles'!$D$2:$D$158,"Not Found",0,1)," ",_xlfn.XLOOKUP(A30,'Data Set 2 - Vehicles'!$A$2:$A$158,'Data Set 2 - Vehicles'!$E$2:$E$158,"Not Found",0,1))="Not Found Not Found", "Not Found",_xlfn.CONCAT(_xlfn.XLOOKUP(A30,'Data Set 2 - Vehicles'!$A$2:$A$158,'Data Set 2 - Vehicles'!$D$2:$D$158,"Not Found",0,1)," ",_xlfn.XLOOKUP(A30,'Data Set 2 - Vehicles'!$A$2:$A$158,'Data Set 2 - Vehicles'!$E$2:$E$158,"Not Found",0,1)))</f>
        <v>Lexus GS400</v>
      </c>
      <c r="R30" s="5">
        <f>_xlfn.XLOOKUP(A30,'Data Set 2 - Vehicles'!$A$2:$A$158,'Data Set 2 - Vehicles'!$O$2:$O$158,"",0,1)</f>
        <v>40145</v>
      </c>
      <c r="S30" s="1" t="str">
        <f>IF(_xlfn.XLOOKUP(A30,'Data Set 2 - Vehicles'!$A$2:$A$158,'Data Set 2 - Vehicles'!$E$2:$E$158,"Has No Vehicle",0,-1)=P30,"Has Only One Vehicle",_xlfn.XLOOKUP(A30,'Data Set 2 - Vehicles'!$A$2:$A$158,'Data Set 2 - Vehicles'!$E$2:$E$158,"Has No Vehcile",0,-1))</f>
        <v>Has Only One Vehicle</v>
      </c>
      <c r="T30" s="1" t="str">
        <f>_xlfn.LET(_xlpm.mfcname,_xlfn.XLOOKUP(A30,'Data Set 2 - Vehicles'!$A$2:$A$158,'Data Set 2 - Vehicles'!$D$2:$D$158,"NF",0,-1),_xlpm.mdlname,_xlfn.XLOOKUP(A30,'Data Set 2 - Vehicles'!$A$2:$A$158,'Data Set 2 - Vehicles'!$E$2:$E$158,"NF",0,-1),_xlpm.vehcilename,_xlfn.CONCAT(_xlpm.mfcname," ",_xlpm.mdlname),IF(S30="Has No Vehicle","Has No Vehicle",IF(S30="Has Only One Vehicle","Has Only One Vehicle",IF(_xlpm.vehcilename="NF NF","Not Found",_xlpm.vehcilename))))</f>
        <v>Has Only One Vehicle</v>
      </c>
      <c r="U30" s="24" t="str">
        <f>_xlfn.LET(_xlpm.vserdate,_xlfn.XLOOKUP(A30,'Data Set 2 - Vehicles'!$A$2:$A$158,'Data Set 2 - Vehicles'!$O$2:$O$158,"NF",0,-1), IF(OR('Data Set 1'!S30="Has No Vehicle",'Data Set 1'!S30="Has Only One Vehicle"),'Data Set 1'!S30,_xlpm.vserdate))</f>
        <v>Has Only One Vehicle</v>
      </c>
      <c r="V30" s="1">
        <f>SUMIF('Data Set 2 - Vehicles'!$A$2:$A$158,'Data Set 1'!A30,'Data Set 2 - Vehicles'!$Q$2:$Q$158)</f>
        <v>294792</v>
      </c>
      <c r="W30" s="5">
        <f>_xlfn.LET(_xlpm.maxdate,_xlfn.MAXIFS('Data Set 2 - Vehicles'!$O$2:$O$158,'Data Set 2 - Vehicles'!$A$2:$A$158,'Data Set 1'!A30),IF(_xlpm.maxdate=0,"",_xlpm.maxdate))</f>
        <v>40145</v>
      </c>
      <c r="X30" s="1" t="str">
        <f t="shared" ca="1" si="3"/>
        <v>InActive</v>
      </c>
      <c r="Y3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31" spans="1:25" ht="12.75" x14ac:dyDescent="0.35">
      <c r="A31" s="15">
        <v>1032</v>
      </c>
      <c r="B31" s="1"/>
      <c r="C31" s="1"/>
      <c r="D31" s="7" t="s">
        <v>566</v>
      </c>
      <c r="E31" s="1" t="s">
        <v>567</v>
      </c>
      <c r="F31" s="1" t="s">
        <v>568</v>
      </c>
      <c r="G31" s="11" t="s">
        <v>569</v>
      </c>
      <c r="H31" s="11">
        <v>88011</v>
      </c>
      <c r="I31" s="1" t="str">
        <f t="shared" si="0"/>
        <v xml:space="preserve"> </v>
      </c>
      <c r="J31" s="1" t="str">
        <f t="shared" si="1"/>
        <v>Cascade Realty Advisors Inc</v>
      </c>
      <c r="K31" s="1" t="str">
        <f t="shared" si="2"/>
        <v>366</v>
      </c>
      <c r="L31" s="1" t="str">
        <f>VLOOKUP(A31,'Data Set 3 - Contacts'!$A$2:$F$136,5,FALSE)</f>
        <v>5059773911</v>
      </c>
      <c r="M31" s="1" t="str">
        <f>VLOOKUP(A31,'Data Set 3 - Contacts'!$A$2:$F$136,6,FALSE)</f>
        <v/>
      </c>
      <c r="N31" s="1" t="str">
        <f>VLOOKUP(A31,'Data Set 3 - Contacts'!$A$2:$F$136,4,FALSE)</f>
        <v>francine_vocelka@vocelka.com</v>
      </c>
      <c r="O31" s="1">
        <f>_xlfn.XLOOKUP(A31,'Data Set 2 - Vehicles'!$A$2:$A$158,'Data Set 2 - Vehicles'!$B$2:$B$158,0,0,-1)</f>
        <v>2</v>
      </c>
      <c r="P31" s="1" t="str">
        <f>_xlfn.XLOOKUP(A31,'Data Set 2 - Vehicles'!$A$2:$A$158,'Data Set 2 - Vehicles'!$E$2:$E$158,"Not Found",0,1)</f>
        <v>GTI</v>
      </c>
      <c r="Q31" s="1" t="str">
        <f>IF(_xlfn.CONCAT(_xlfn.XLOOKUP(A31,'Data Set 2 - Vehicles'!$A$2:$A$158,'Data Set 2 - Vehicles'!$D$2:$D$158,"Not Found",0,1)," ",_xlfn.XLOOKUP(A31,'Data Set 2 - Vehicles'!$A$2:$A$158,'Data Set 2 - Vehicles'!$E$2:$E$158,"Not Found",0,1))="Not Found Not Found", "Not Found",_xlfn.CONCAT(_xlfn.XLOOKUP(A31,'Data Set 2 - Vehicles'!$A$2:$A$158,'Data Set 2 - Vehicles'!$D$2:$D$158,"Not Found",0,1)," ",_xlfn.XLOOKUP(A31,'Data Set 2 - Vehicles'!$A$2:$A$158,'Data Set 2 - Vehicles'!$E$2:$E$158,"Not Found",0,1)))</f>
        <v>Volkswagen GTI</v>
      </c>
      <c r="R31" s="5">
        <f>_xlfn.XLOOKUP(A31,'Data Set 2 - Vehicles'!$A$2:$A$158,'Data Set 2 - Vehicles'!$O$2:$O$158,"",0,1)</f>
        <v>40269</v>
      </c>
      <c r="S31" s="1" t="str">
        <f>IF(_xlfn.XLOOKUP(A31,'Data Set 2 - Vehicles'!$A$2:$A$158,'Data Set 2 - Vehicles'!$E$2:$E$158,"Has No Vehicle",0,-1)=P31,"Has Only One Vehicle",_xlfn.XLOOKUP(A31,'Data Set 2 - Vehicles'!$A$2:$A$158,'Data Set 2 - Vehicles'!$E$2:$E$158,"Has No Vehcile",0,-1))</f>
        <v>Carrera Coupe</v>
      </c>
      <c r="T31" s="1" t="str">
        <f>_xlfn.LET(_xlpm.mfcname,_xlfn.XLOOKUP(A31,'Data Set 2 - Vehicles'!$A$2:$A$158,'Data Set 2 - Vehicles'!$D$2:$D$158,"NF",0,-1),_xlpm.mdlname,_xlfn.XLOOKUP(A31,'Data Set 2 - Vehicles'!$A$2:$A$158,'Data Set 2 - Vehicles'!$E$2:$E$158,"NF",0,-1),_xlpm.vehcilename,_xlfn.CONCAT(_xlpm.mfcname," ",_xlpm.mdlname),IF(S31="Has No Vehicle","Has No Vehicle",IF(S31="Has Only One Vehicle","Has Only One Vehicle",IF(_xlpm.vehcilename="NF NF","Not Found",_xlpm.vehcilename))))</f>
        <v>Porsche Carrera Coupe</v>
      </c>
      <c r="U31" s="24">
        <f>_xlfn.LET(_xlpm.vserdate,_xlfn.XLOOKUP(A31,'Data Set 2 - Vehicles'!$A$2:$A$158,'Data Set 2 - Vehicles'!$O$2:$O$158,"NF",0,-1), IF(OR('Data Set 1'!S31="Has No Vehicle",'Data Set 1'!S31="Has Only One Vehicle"),'Data Set 1'!S31,_xlpm.vserdate))</f>
        <v>40533</v>
      </c>
      <c r="V31" s="1">
        <f>SUMIF('Data Set 2 - Vehicles'!$A$2:$A$158,'Data Set 1'!A31,'Data Set 2 - Vehicles'!$Q$2:$Q$158)</f>
        <v>239482</v>
      </c>
      <c r="W31" s="5">
        <f>_xlfn.LET(_xlpm.maxdate,_xlfn.MAXIFS('Data Set 2 - Vehicles'!$O$2:$O$158,'Data Set 2 - Vehicles'!$A$2:$A$158,'Data Set 1'!A31),IF(_xlpm.maxdate=0,"",_xlpm.maxdate))</f>
        <v>40533</v>
      </c>
      <c r="X31" s="1" t="str">
        <f t="shared" ca="1" si="3"/>
        <v>InActive</v>
      </c>
      <c r="Y3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32" spans="1:25" ht="12.75" x14ac:dyDescent="0.35">
      <c r="A32" s="15">
        <v>1257</v>
      </c>
      <c r="B32" s="1" t="s">
        <v>571</v>
      </c>
      <c r="C32" s="1" t="s">
        <v>572</v>
      </c>
      <c r="D32" s="7" t="s">
        <v>573</v>
      </c>
      <c r="E32" s="1" t="s">
        <v>574</v>
      </c>
      <c r="F32" s="1" t="s">
        <v>575</v>
      </c>
      <c r="G32" s="11" t="s">
        <v>576</v>
      </c>
      <c r="H32" s="11">
        <v>27215</v>
      </c>
      <c r="I32" s="1" t="str">
        <f t="shared" si="0"/>
        <v>Deandrea Hughey</v>
      </c>
      <c r="J32" s="1" t="str">
        <f t="shared" si="1"/>
        <v>Deandrea Hughey</v>
      </c>
      <c r="K32" s="1" t="str">
        <f t="shared" si="2"/>
        <v>33</v>
      </c>
      <c r="L32" s="1" t="str">
        <f>VLOOKUP(A32,'Data Set 3 - Contacts'!$A$2:$F$136,5,FALSE)</f>
        <v>3368227652</v>
      </c>
      <c r="M32" s="1" t="str">
        <f>VLOOKUP(A32,'Data Set 3 - Contacts'!$A$2:$F$136,6,FALSE)</f>
        <v>3364673095</v>
      </c>
      <c r="N32" s="1" t="str">
        <f>VLOOKUP(A32,'Data Set 3 - Contacts'!$A$2:$F$136,4,FALSE)</f>
        <v>deandrea@yahoo.com</v>
      </c>
      <c r="O32" s="1">
        <f>_xlfn.XLOOKUP(A32,'Data Set 2 - Vehicles'!$A$2:$A$158,'Data Set 2 - Vehicles'!$B$2:$B$158,0,0,-1)</f>
        <v>2</v>
      </c>
      <c r="P32" s="1" t="str">
        <f>_xlfn.XLOOKUP(A32,'Data Set 2 - Vehicles'!$A$2:$A$158,'Data Set 2 - Vehicles'!$E$2:$E$158,"Not Found",0,1)</f>
        <v>RL</v>
      </c>
      <c r="Q32" s="1" t="str">
        <f>IF(_xlfn.CONCAT(_xlfn.XLOOKUP(A32,'Data Set 2 - Vehicles'!$A$2:$A$158,'Data Set 2 - Vehicles'!$D$2:$D$158,"Not Found",0,1)," ",_xlfn.XLOOKUP(A32,'Data Set 2 - Vehicles'!$A$2:$A$158,'Data Set 2 - Vehicles'!$E$2:$E$158,"Not Found",0,1))="Not Found Not Found", "Not Found",_xlfn.CONCAT(_xlfn.XLOOKUP(A32,'Data Set 2 - Vehicles'!$A$2:$A$158,'Data Set 2 - Vehicles'!$D$2:$D$158,"Not Found",0,1)," ",_xlfn.XLOOKUP(A32,'Data Set 2 - Vehicles'!$A$2:$A$158,'Data Set 2 - Vehicles'!$E$2:$E$158,"Not Found",0,1)))</f>
        <v>Acura RL</v>
      </c>
      <c r="R32" s="5">
        <f>_xlfn.XLOOKUP(A32,'Data Set 2 - Vehicles'!$A$2:$A$158,'Data Set 2 - Vehicles'!$O$2:$O$158,"",0,1)</f>
        <v>43534</v>
      </c>
      <c r="S32" s="1" t="str">
        <f>IF(_xlfn.XLOOKUP(A32,'Data Set 2 - Vehicles'!$A$2:$A$158,'Data Set 2 - Vehicles'!$E$2:$E$158,"Has No Vehicle",0,-1)=P32,"Has Only One Vehicle",_xlfn.XLOOKUP(A32,'Data Set 2 - Vehicles'!$A$2:$A$158,'Data Set 2 - Vehicles'!$E$2:$E$158,"Has No Vehcile",0,-1))</f>
        <v>Mustang</v>
      </c>
      <c r="T32" s="1" t="str">
        <f>_xlfn.LET(_xlpm.mfcname,_xlfn.XLOOKUP(A32,'Data Set 2 - Vehicles'!$A$2:$A$158,'Data Set 2 - Vehicles'!$D$2:$D$158,"NF",0,-1),_xlpm.mdlname,_xlfn.XLOOKUP(A32,'Data Set 2 - Vehicles'!$A$2:$A$158,'Data Set 2 - Vehicles'!$E$2:$E$158,"NF",0,-1),_xlpm.vehcilename,_xlfn.CONCAT(_xlpm.mfcname," ",_xlpm.mdlname),IF(S32="Has No Vehicle","Has No Vehicle",IF(S32="Has Only One Vehicle","Has Only One Vehicle",IF(_xlpm.vehcilename="NF NF","Not Found",_xlpm.vehcilename))))</f>
        <v>Ford Mustang</v>
      </c>
      <c r="U32" s="24">
        <f>_xlfn.LET(_xlpm.vserdate,_xlfn.XLOOKUP(A32,'Data Set 2 - Vehicles'!$A$2:$A$158,'Data Set 2 - Vehicles'!$O$2:$O$158,"NF",0,-1), IF(OR('Data Set 1'!S32="Has No Vehicle",'Data Set 1'!S32="Has Only One Vehicle"),'Data Set 1'!S32,_xlpm.vserdate))</f>
        <v>40209</v>
      </c>
      <c r="V32" s="1">
        <f>SUMIF('Data Set 2 - Vehicles'!$A$2:$A$158,'Data Set 1'!A32,'Data Set 2 - Vehicles'!$Q$2:$Q$158)</f>
        <v>272490</v>
      </c>
      <c r="W32" s="5">
        <f>_xlfn.LET(_xlpm.maxdate,_xlfn.MAXIFS('Data Set 2 - Vehicles'!$O$2:$O$158,'Data Set 2 - Vehicles'!$A$2:$A$158,'Data Set 1'!A32),IF(_xlpm.maxdate=0,"",_xlpm.maxdate))</f>
        <v>43534</v>
      </c>
      <c r="X32" s="1" t="str">
        <f t="shared" ca="1" si="3"/>
        <v>InActive</v>
      </c>
      <c r="Y3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33" spans="1:25" ht="12.75" x14ac:dyDescent="0.35">
      <c r="A33" s="15">
        <v>1006</v>
      </c>
      <c r="B33" s="1" t="s">
        <v>578</v>
      </c>
      <c r="C33" s="1" t="s">
        <v>579</v>
      </c>
      <c r="D33" s="7"/>
      <c r="E33" s="1" t="s">
        <v>580</v>
      </c>
      <c r="F33" s="1" t="s">
        <v>581</v>
      </c>
      <c r="G33" s="11" t="s">
        <v>582</v>
      </c>
      <c r="H33" s="11">
        <v>44805</v>
      </c>
      <c r="I33" s="1" t="str">
        <f t="shared" si="0"/>
        <v>Simona Morasca</v>
      </c>
      <c r="J33" s="1" t="str">
        <f t="shared" si="1"/>
        <v>Simona Morasca</v>
      </c>
      <c r="K33" s="1" t="str">
        <f t="shared" si="2"/>
        <v>3</v>
      </c>
      <c r="L33" s="1" t="str">
        <f>VLOOKUP(A33,'Data Set 3 - Contacts'!$A$2:$F$136,5,FALSE)</f>
        <v>4195032484</v>
      </c>
      <c r="M33" s="1" t="str">
        <f>VLOOKUP(A33,'Data Set 3 - Contacts'!$A$2:$F$136,6,FALSE)</f>
        <v/>
      </c>
      <c r="N33" s="1" t="str">
        <f>VLOOKUP(A33,'Data Set 3 - Contacts'!$A$2:$F$136,4,FALSE)</f>
        <v>simona@morasca.com</v>
      </c>
      <c r="O33" s="1">
        <f>_xlfn.XLOOKUP(A33,'Data Set 2 - Vehicles'!$A$2:$A$158,'Data Set 2 - Vehicles'!$B$2:$B$158,0,0,-1)</f>
        <v>1</v>
      </c>
      <c r="P33" s="1" t="str">
        <f>_xlfn.XLOOKUP(A33,'Data Set 2 - Vehicles'!$A$2:$A$158,'Data Set 2 - Vehicles'!$E$2:$E$158,"Not Found",0,1)</f>
        <v>Lumina</v>
      </c>
      <c r="Q33" s="1" t="str">
        <f>IF(_xlfn.CONCAT(_xlfn.XLOOKUP(A33,'Data Set 2 - Vehicles'!$A$2:$A$158,'Data Set 2 - Vehicles'!$D$2:$D$158,"Not Found",0,1)," ",_xlfn.XLOOKUP(A33,'Data Set 2 - Vehicles'!$A$2:$A$158,'Data Set 2 - Vehicles'!$E$2:$E$158,"Not Found",0,1))="Not Found Not Found", "Not Found",_xlfn.CONCAT(_xlfn.XLOOKUP(A33,'Data Set 2 - Vehicles'!$A$2:$A$158,'Data Set 2 - Vehicles'!$D$2:$D$158,"Not Found",0,1)," ",_xlfn.XLOOKUP(A33,'Data Set 2 - Vehicles'!$A$2:$A$158,'Data Set 2 - Vehicles'!$E$2:$E$158,"Not Found",0,1)))</f>
        <v>Chevrolet Lumina</v>
      </c>
      <c r="R33" s="5">
        <f>_xlfn.XLOOKUP(A33,'Data Set 2 - Vehicles'!$A$2:$A$158,'Data Set 2 - Vehicles'!$O$2:$O$158,"",0,1)</f>
        <v>45436</v>
      </c>
      <c r="S33" s="1" t="str">
        <f>IF(_xlfn.XLOOKUP(A33,'Data Set 2 - Vehicles'!$A$2:$A$158,'Data Set 2 - Vehicles'!$E$2:$E$158,"Has No Vehicle",0,-1)=P33,"Has Only One Vehicle",_xlfn.XLOOKUP(A33,'Data Set 2 - Vehicles'!$A$2:$A$158,'Data Set 2 - Vehicles'!$E$2:$E$158,"Has No Vehcile",0,-1))</f>
        <v>Has Only One Vehicle</v>
      </c>
      <c r="T33" s="1" t="str">
        <f>_xlfn.LET(_xlpm.mfcname,_xlfn.XLOOKUP(A33,'Data Set 2 - Vehicles'!$A$2:$A$158,'Data Set 2 - Vehicles'!$D$2:$D$158,"NF",0,-1),_xlpm.mdlname,_xlfn.XLOOKUP(A33,'Data Set 2 - Vehicles'!$A$2:$A$158,'Data Set 2 - Vehicles'!$E$2:$E$158,"NF",0,-1),_xlpm.vehcilename,_xlfn.CONCAT(_xlpm.mfcname," ",_xlpm.mdlname),IF(S33="Has No Vehicle","Has No Vehicle",IF(S33="Has Only One Vehicle","Has Only One Vehicle",IF(_xlpm.vehcilename="NF NF","Not Found",_xlpm.vehcilename))))</f>
        <v>Has Only One Vehicle</v>
      </c>
      <c r="U33" s="24" t="str">
        <f>_xlfn.LET(_xlpm.vserdate,_xlfn.XLOOKUP(A33,'Data Set 2 - Vehicles'!$A$2:$A$158,'Data Set 2 - Vehicles'!$O$2:$O$158,"NF",0,-1), IF(OR('Data Set 1'!S33="Has No Vehicle",'Data Set 1'!S33="Has Only One Vehicle"),'Data Set 1'!S33,_xlpm.vserdate))</f>
        <v>Has Only One Vehicle</v>
      </c>
      <c r="V33" s="1">
        <f>SUMIF('Data Set 2 - Vehicles'!$A$2:$A$158,'Data Set 1'!A33,'Data Set 2 - Vehicles'!$Q$2:$Q$158)</f>
        <v>188621</v>
      </c>
      <c r="W33" s="5">
        <f>_xlfn.LET(_xlpm.maxdate,_xlfn.MAXIFS('Data Set 2 - Vehicles'!$O$2:$O$158,'Data Set 2 - Vehicles'!$A$2:$A$158,'Data Set 1'!A33),IF(_xlpm.maxdate=0,"",_xlpm.maxdate))</f>
        <v>45436</v>
      </c>
      <c r="X33" s="1" t="str">
        <f t="shared" ca="1" si="3"/>
        <v>Active</v>
      </c>
      <c r="Y3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34" spans="1:25" ht="12.75" x14ac:dyDescent="0.35">
      <c r="A34" s="15">
        <v>1447</v>
      </c>
      <c r="B34" s="1" t="s">
        <v>583</v>
      </c>
      <c r="C34" s="1" t="s">
        <v>584</v>
      </c>
      <c r="D34" s="7"/>
      <c r="E34" s="1" t="s">
        <v>585</v>
      </c>
      <c r="F34" s="1" t="s">
        <v>586</v>
      </c>
      <c r="G34" s="11" t="s">
        <v>392</v>
      </c>
      <c r="H34" s="11">
        <v>60008</v>
      </c>
      <c r="I34" s="1" t="str">
        <f t="shared" si="0"/>
        <v>Cassi Wildfong</v>
      </c>
      <c r="J34" s="1" t="str">
        <f t="shared" si="1"/>
        <v>Cassi Wildfong</v>
      </c>
      <c r="K34" s="1" t="str">
        <f t="shared" si="2"/>
        <v>26849</v>
      </c>
      <c r="L34" s="1" t="str">
        <f>VLOOKUP(A34,'Data Set 3 - Contacts'!$A$2:$F$136,5,FALSE)</f>
        <v>8476333216</v>
      </c>
      <c r="M34" s="1" t="str">
        <f>VLOOKUP(A34,'Data Set 3 - Contacts'!$A$2:$F$136,6,FALSE)</f>
        <v>8477559041</v>
      </c>
      <c r="N34" s="1" t="str">
        <f>VLOOKUP(A34,'Data Set 3 - Contacts'!$A$2:$F$136,4,FALSE)</f>
        <v>cassi.wildfong@aol.com</v>
      </c>
      <c r="O34" s="1">
        <f>_xlfn.XLOOKUP(A34,'Data Set 2 - Vehicles'!$A$2:$A$158,'Data Set 2 - Vehicles'!$B$2:$B$158,0,0,-1)</f>
        <v>1</v>
      </c>
      <c r="P34" s="1" t="str">
        <f>_xlfn.XLOOKUP(A34,'Data Set 2 - Vehicles'!$A$2:$A$158,'Data Set 2 - Vehicles'!$E$2:$E$158,"Not Found",0,1)</f>
        <v>Mirage</v>
      </c>
      <c r="Q34" s="1" t="str">
        <f>IF(_xlfn.CONCAT(_xlfn.XLOOKUP(A34,'Data Set 2 - Vehicles'!$A$2:$A$158,'Data Set 2 - Vehicles'!$D$2:$D$158,"Not Found",0,1)," ",_xlfn.XLOOKUP(A34,'Data Set 2 - Vehicles'!$A$2:$A$158,'Data Set 2 - Vehicles'!$E$2:$E$158,"Not Found",0,1))="Not Found Not Found", "Not Found",_xlfn.CONCAT(_xlfn.XLOOKUP(A34,'Data Set 2 - Vehicles'!$A$2:$A$158,'Data Set 2 - Vehicles'!$D$2:$D$158,"Not Found",0,1)," ",_xlfn.XLOOKUP(A34,'Data Set 2 - Vehicles'!$A$2:$A$158,'Data Set 2 - Vehicles'!$E$2:$E$158,"Not Found",0,1)))</f>
        <v>Mitsubishi Mirage</v>
      </c>
      <c r="R34" s="5">
        <f>_xlfn.XLOOKUP(A34,'Data Set 2 - Vehicles'!$A$2:$A$158,'Data Set 2 - Vehicles'!$O$2:$O$158,"",0,1)</f>
        <v>44309</v>
      </c>
      <c r="S34" s="1" t="str">
        <f>IF(_xlfn.XLOOKUP(A34,'Data Set 2 - Vehicles'!$A$2:$A$158,'Data Set 2 - Vehicles'!$E$2:$E$158,"Has No Vehicle",0,-1)=P34,"Has Only One Vehicle",_xlfn.XLOOKUP(A34,'Data Set 2 - Vehicles'!$A$2:$A$158,'Data Set 2 - Vehicles'!$E$2:$E$158,"Has No Vehcile",0,-1))</f>
        <v>Has Only One Vehicle</v>
      </c>
      <c r="T34" s="1" t="str">
        <f>_xlfn.LET(_xlpm.mfcname,_xlfn.XLOOKUP(A34,'Data Set 2 - Vehicles'!$A$2:$A$158,'Data Set 2 - Vehicles'!$D$2:$D$158,"NF",0,-1),_xlpm.mdlname,_xlfn.XLOOKUP(A34,'Data Set 2 - Vehicles'!$A$2:$A$158,'Data Set 2 - Vehicles'!$E$2:$E$158,"NF",0,-1),_xlpm.vehcilename,_xlfn.CONCAT(_xlpm.mfcname," ",_xlpm.mdlname),IF(S34="Has No Vehicle","Has No Vehicle",IF(S34="Has Only One Vehicle","Has Only One Vehicle",IF(_xlpm.vehcilename="NF NF","Not Found",_xlpm.vehcilename))))</f>
        <v>Has Only One Vehicle</v>
      </c>
      <c r="U34" s="24" t="str">
        <f>_xlfn.LET(_xlpm.vserdate,_xlfn.XLOOKUP(A34,'Data Set 2 - Vehicles'!$A$2:$A$158,'Data Set 2 - Vehicles'!$O$2:$O$158,"NF",0,-1), IF(OR('Data Set 1'!S34="Has No Vehicle",'Data Set 1'!S34="Has Only One Vehicle"),'Data Set 1'!S34,_xlpm.vserdate))</f>
        <v>Has Only One Vehicle</v>
      </c>
      <c r="V34" s="1">
        <f>SUMIF('Data Set 2 - Vehicles'!$A$2:$A$158,'Data Set 1'!A34,'Data Set 2 - Vehicles'!$Q$2:$Q$158)</f>
        <v>58653</v>
      </c>
      <c r="W34" s="5">
        <f>_xlfn.LET(_xlpm.maxdate,_xlfn.MAXIFS('Data Set 2 - Vehicles'!$O$2:$O$158,'Data Set 2 - Vehicles'!$A$2:$A$158,'Data Set 1'!A34),IF(_xlpm.maxdate=0,"",_xlpm.maxdate))</f>
        <v>44309</v>
      </c>
      <c r="X34" s="1" t="str">
        <f t="shared" ca="1" si="3"/>
        <v>InActive</v>
      </c>
      <c r="Y3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35" spans="1:25" ht="12.75" x14ac:dyDescent="0.35">
      <c r="A35" s="17">
        <v>1116</v>
      </c>
      <c r="B35" s="1"/>
      <c r="C35" s="1"/>
      <c r="D35" s="7" t="s">
        <v>589</v>
      </c>
      <c r="E35" s="1" t="s">
        <v>590</v>
      </c>
      <c r="F35" s="1" t="s">
        <v>591</v>
      </c>
      <c r="G35" s="11" t="s">
        <v>495</v>
      </c>
      <c r="H35" s="11">
        <v>21117</v>
      </c>
      <c r="I35" s="1" t="str">
        <f t="shared" si="0"/>
        <v xml:space="preserve"> </v>
      </c>
      <c r="J35" s="1" t="str">
        <f t="shared" si="1"/>
        <v>Comfort Inn</v>
      </c>
      <c r="K35" s="1" t="str">
        <f t="shared" si="2"/>
        <v>55892</v>
      </c>
      <c r="L35" s="1" t="str">
        <f>VLOOKUP(A35,'Data Set 3 - Contacts'!$A$2:$F$136,5,FALSE)</f>
        <v>4102249462</v>
      </c>
      <c r="M35" s="1" t="str">
        <f>VLOOKUP(A35,'Data Set 3 - Contacts'!$A$2:$F$136,6,FALSE)</f>
        <v/>
      </c>
      <c r="N35" s="1" t="str">
        <f>VLOOKUP(A35,'Data Set 3 - Contacts'!$A$2:$F$136,4,FALSE)</f>
        <v>gkulzer@kulzer.org</v>
      </c>
      <c r="O35" s="1">
        <f>_xlfn.XLOOKUP(A35,'Data Set 2 - Vehicles'!$A$2:$A$158,'Data Set 2 - Vehicles'!$B$2:$B$158,0,0,-1)</f>
        <v>1</v>
      </c>
      <c r="P35" s="1" t="str">
        <f>_xlfn.XLOOKUP(A35,'Data Set 2 - Vehicles'!$A$2:$A$158,'Data Set 2 - Vehicles'!$E$2:$E$158,"Not Found",0,1)</f>
        <v>Impala</v>
      </c>
      <c r="Q35" s="1" t="str">
        <f>IF(_xlfn.CONCAT(_xlfn.XLOOKUP(A35,'Data Set 2 - Vehicles'!$A$2:$A$158,'Data Set 2 - Vehicles'!$D$2:$D$158,"Not Found",0,1)," ",_xlfn.XLOOKUP(A35,'Data Set 2 - Vehicles'!$A$2:$A$158,'Data Set 2 - Vehicles'!$E$2:$E$158,"Not Found",0,1))="Not Found Not Found", "Not Found",_xlfn.CONCAT(_xlfn.XLOOKUP(A35,'Data Set 2 - Vehicles'!$A$2:$A$158,'Data Set 2 - Vehicles'!$D$2:$D$158,"Not Found",0,1)," ",_xlfn.XLOOKUP(A35,'Data Set 2 - Vehicles'!$A$2:$A$158,'Data Set 2 - Vehicles'!$E$2:$E$158,"Not Found",0,1)))</f>
        <v>Chevrolet Impala</v>
      </c>
      <c r="R35" s="5">
        <f>_xlfn.XLOOKUP(A35,'Data Set 2 - Vehicles'!$A$2:$A$158,'Data Set 2 - Vehicles'!$O$2:$O$158,"",0,1)</f>
        <v>42904</v>
      </c>
      <c r="S35" s="1" t="str">
        <f>IF(_xlfn.XLOOKUP(A35,'Data Set 2 - Vehicles'!$A$2:$A$158,'Data Set 2 - Vehicles'!$E$2:$E$158,"Has No Vehicle",0,-1)=P35,"Has Only One Vehicle",_xlfn.XLOOKUP(A35,'Data Set 2 - Vehicles'!$A$2:$A$158,'Data Set 2 - Vehicles'!$E$2:$E$158,"Has No Vehcile",0,-1))</f>
        <v>Has Only One Vehicle</v>
      </c>
      <c r="T35" s="1" t="str">
        <f>_xlfn.LET(_xlpm.mfcname,_xlfn.XLOOKUP(A35,'Data Set 2 - Vehicles'!$A$2:$A$158,'Data Set 2 - Vehicles'!$D$2:$D$158,"NF",0,-1),_xlpm.mdlname,_xlfn.XLOOKUP(A35,'Data Set 2 - Vehicles'!$A$2:$A$158,'Data Set 2 - Vehicles'!$E$2:$E$158,"NF",0,-1),_xlpm.vehcilename,_xlfn.CONCAT(_xlpm.mfcname," ",_xlpm.mdlname),IF(S35="Has No Vehicle","Has No Vehicle",IF(S35="Has Only One Vehicle","Has Only One Vehicle",IF(_xlpm.vehcilename="NF NF","Not Found",_xlpm.vehcilename))))</f>
        <v>Has Only One Vehicle</v>
      </c>
      <c r="U35" s="24" t="str">
        <f>_xlfn.LET(_xlpm.vserdate,_xlfn.XLOOKUP(A35,'Data Set 2 - Vehicles'!$A$2:$A$158,'Data Set 2 - Vehicles'!$O$2:$O$158,"NF",0,-1), IF(OR('Data Set 1'!S35="Has No Vehicle",'Data Set 1'!S35="Has Only One Vehicle"),'Data Set 1'!S35,_xlpm.vserdate))</f>
        <v>Has Only One Vehicle</v>
      </c>
      <c r="V35" s="1">
        <f>SUMIF('Data Set 2 - Vehicles'!$A$2:$A$158,'Data Set 1'!A35,'Data Set 2 - Vehicles'!$Q$2:$Q$158)</f>
        <v>82160</v>
      </c>
      <c r="W35" s="5">
        <f>_xlfn.LET(_xlpm.maxdate,_xlfn.MAXIFS('Data Set 2 - Vehicles'!$O$2:$O$158,'Data Set 2 - Vehicles'!$A$2:$A$158,'Data Set 1'!A35),IF(_xlpm.maxdate=0,"",_xlpm.maxdate))</f>
        <v>42904</v>
      </c>
      <c r="X35" s="1" t="str">
        <f t="shared" ca="1" si="3"/>
        <v>InActive</v>
      </c>
      <c r="Y3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36" spans="1:25" ht="12.75" x14ac:dyDescent="0.35">
      <c r="A36" s="17">
        <v>1085</v>
      </c>
      <c r="B36" s="1" t="s">
        <v>592</v>
      </c>
      <c r="C36" s="1" t="s">
        <v>593</v>
      </c>
      <c r="D36" s="7"/>
      <c r="E36" s="1" t="s">
        <v>595</v>
      </c>
      <c r="F36" s="1" t="s">
        <v>596</v>
      </c>
      <c r="G36" s="11" t="s">
        <v>582</v>
      </c>
      <c r="H36" s="11">
        <v>44122</v>
      </c>
      <c r="I36" s="1" t="str">
        <f t="shared" si="0"/>
        <v>Lettie Isenhower</v>
      </c>
      <c r="J36" s="1" t="str">
        <f t="shared" si="1"/>
        <v>Lettie Isenhower</v>
      </c>
      <c r="K36" s="1" t="str">
        <f t="shared" si="2"/>
        <v>70</v>
      </c>
      <c r="L36" s="1" t="str">
        <f>VLOOKUP(A36,'Data Set 3 - Contacts'!$A$2:$F$136,5,FALSE)</f>
        <v>2166577668</v>
      </c>
      <c r="M36" s="1" t="str">
        <f>VLOOKUP(A36,'Data Set 3 - Contacts'!$A$2:$F$136,6,FALSE)</f>
        <v>2167338494</v>
      </c>
      <c r="N36" s="1" t="str">
        <f>VLOOKUP(A36,'Data Set 3 - Contacts'!$A$2:$F$136,4,FALSE)</f>
        <v>lettie_isenhower@yahoo.com</v>
      </c>
      <c r="O36" s="1">
        <f>_xlfn.XLOOKUP(A36,'Data Set 2 - Vehicles'!$A$2:$A$158,'Data Set 2 - Vehicles'!$B$2:$B$158,0,0,-1)</f>
        <v>1</v>
      </c>
      <c r="P36" s="1" t="str">
        <f>_xlfn.XLOOKUP(A36,'Data Set 2 - Vehicles'!$A$2:$A$158,'Data Set 2 - Vehicles'!$E$2:$E$158,"Not Found",0,1)</f>
        <v>CL500</v>
      </c>
      <c r="Q36" s="1" t="str">
        <f>IF(_xlfn.CONCAT(_xlfn.XLOOKUP(A36,'Data Set 2 - Vehicles'!$A$2:$A$158,'Data Set 2 - Vehicles'!$D$2:$D$158,"Not Found",0,1)," ",_xlfn.XLOOKUP(A36,'Data Set 2 - Vehicles'!$A$2:$A$158,'Data Set 2 - Vehicles'!$E$2:$E$158,"Not Found",0,1))="Not Found Not Found", "Not Found",_xlfn.CONCAT(_xlfn.XLOOKUP(A36,'Data Set 2 - Vehicles'!$A$2:$A$158,'Data Set 2 - Vehicles'!$D$2:$D$158,"Not Found",0,1)," ",_xlfn.XLOOKUP(A36,'Data Set 2 - Vehicles'!$A$2:$A$158,'Data Set 2 - Vehicles'!$E$2:$E$158,"Not Found",0,1)))</f>
        <v>Mercedes-B CL500</v>
      </c>
      <c r="R36" s="5">
        <f>_xlfn.XLOOKUP(A36,'Data Set 2 - Vehicles'!$A$2:$A$158,'Data Set 2 - Vehicles'!$O$2:$O$158,"",0,1)</f>
        <v>45027</v>
      </c>
      <c r="S36" s="1" t="str">
        <f>IF(_xlfn.XLOOKUP(A36,'Data Set 2 - Vehicles'!$A$2:$A$158,'Data Set 2 - Vehicles'!$E$2:$E$158,"Has No Vehicle",0,-1)=P36,"Has Only One Vehicle",_xlfn.XLOOKUP(A36,'Data Set 2 - Vehicles'!$A$2:$A$158,'Data Set 2 - Vehicles'!$E$2:$E$158,"Has No Vehcile",0,-1))</f>
        <v>Has Only One Vehicle</v>
      </c>
      <c r="T36" s="1" t="str">
        <f>_xlfn.LET(_xlpm.mfcname,_xlfn.XLOOKUP(A36,'Data Set 2 - Vehicles'!$A$2:$A$158,'Data Set 2 - Vehicles'!$D$2:$D$158,"NF",0,-1),_xlpm.mdlname,_xlfn.XLOOKUP(A36,'Data Set 2 - Vehicles'!$A$2:$A$158,'Data Set 2 - Vehicles'!$E$2:$E$158,"NF",0,-1),_xlpm.vehcilename,_xlfn.CONCAT(_xlpm.mfcname," ",_xlpm.mdlname),IF(S36="Has No Vehicle","Has No Vehicle",IF(S36="Has Only One Vehicle","Has Only One Vehicle",IF(_xlpm.vehcilename="NF NF","Not Found",_xlpm.vehcilename))))</f>
        <v>Has Only One Vehicle</v>
      </c>
      <c r="U36" s="24" t="str">
        <f>_xlfn.LET(_xlpm.vserdate,_xlfn.XLOOKUP(A36,'Data Set 2 - Vehicles'!$A$2:$A$158,'Data Set 2 - Vehicles'!$O$2:$O$158,"NF",0,-1), IF(OR('Data Set 1'!S36="Has No Vehicle",'Data Set 1'!S36="Has Only One Vehicle"),'Data Set 1'!S36,_xlpm.vserdate))</f>
        <v>Has Only One Vehicle</v>
      </c>
      <c r="V36" s="1">
        <f>SUMIF('Data Set 2 - Vehicles'!$A$2:$A$158,'Data Set 1'!A36,'Data Set 2 - Vehicles'!$Q$2:$Q$158)</f>
        <v>127350</v>
      </c>
      <c r="W36" s="5">
        <f>_xlfn.LET(_xlpm.maxdate,_xlfn.MAXIFS('Data Set 2 - Vehicles'!$O$2:$O$158,'Data Set 2 - Vehicles'!$A$2:$A$158,'Data Set 1'!A36),IF(_xlpm.maxdate=0,"",_xlpm.maxdate))</f>
        <v>45027</v>
      </c>
      <c r="X36" s="1" t="str">
        <f t="shared" ca="1" si="3"/>
        <v>Active</v>
      </c>
      <c r="Y3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37" spans="1:25" ht="12.75" x14ac:dyDescent="0.35">
      <c r="A37" s="15">
        <v>1326</v>
      </c>
      <c r="B37" s="1"/>
      <c r="C37" s="1"/>
      <c r="D37" s="7" t="s">
        <v>597</v>
      </c>
      <c r="E37" s="1" t="s">
        <v>598</v>
      </c>
      <c r="F37" s="1" t="s">
        <v>599</v>
      </c>
      <c r="G37" s="11" t="s">
        <v>582</v>
      </c>
      <c r="H37" s="11">
        <v>44103</v>
      </c>
      <c r="I37" s="1" t="str">
        <f t="shared" si="0"/>
        <v xml:space="preserve"> </v>
      </c>
      <c r="J37" s="1" t="str">
        <f t="shared" si="1"/>
        <v>Courtyard By Marriott</v>
      </c>
      <c r="K37" s="1" t="str">
        <f t="shared" si="2"/>
        <v>80</v>
      </c>
      <c r="L37" s="1" t="str">
        <f>VLOOKUP(A37,'Data Set 3 - Contacts'!$A$2:$F$136,5,FALSE)</f>
        <v>2162304892</v>
      </c>
      <c r="M37" s="1" t="str">
        <f>VLOOKUP(A37,'Data Set 3 - Contacts'!$A$2:$F$136,6,FALSE)</f>
        <v>2169375320</v>
      </c>
      <c r="N37" s="1" t="str">
        <f>VLOOKUP(A37,'Data Set 3 - Contacts'!$A$2:$F$136,4,FALSE)</f>
        <v>adelina_nabours@gmail.com</v>
      </c>
      <c r="O37" s="1">
        <f>_xlfn.XLOOKUP(A37,'Data Set 2 - Vehicles'!$A$2:$A$158,'Data Set 2 - Vehicles'!$B$2:$B$158,0,0,-1)</f>
        <v>1</v>
      </c>
      <c r="P37" s="1" t="str">
        <f>_xlfn.XLOOKUP(A37,'Data Set 2 - Vehicles'!$A$2:$A$158,'Data Set 2 - Vehicles'!$E$2:$E$158,"Not Found",0,1)</f>
        <v>SL-Class</v>
      </c>
      <c r="Q37" s="1" t="str">
        <f>IF(_xlfn.CONCAT(_xlfn.XLOOKUP(A37,'Data Set 2 - Vehicles'!$A$2:$A$158,'Data Set 2 - Vehicles'!$D$2:$D$158,"Not Found",0,1)," ",_xlfn.XLOOKUP(A37,'Data Set 2 - Vehicles'!$A$2:$A$158,'Data Set 2 - Vehicles'!$E$2:$E$158,"Not Found",0,1))="Not Found Not Found", "Not Found",_xlfn.CONCAT(_xlfn.XLOOKUP(A37,'Data Set 2 - Vehicles'!$A$2:$A$158,'Data Set 2 - Vehicles'!$D$2:$D$158,"Not Found",0,1)," ",_xlfn.XLOOKUP(A37,'Data Set 2 - Vehicles'!$A$2:$A$158,'Data Set 2 - Vehicles'!$E$2:$E$158,"Not Found",0,1)))</f>
        <v>Mercedes-B SL-Class</v>
      </c>
      <c r="R37" s="5">
        <f>_xlfn.XLOOKUP(A37,'Data Set 2 - Vehicles'!$A$2:$A$158,'Data Set 2 - Vehicles'!$O$2:$O$158,"",0,1)</f>
        <v>39158</v>
      </c>
      <c r="S37" s="1" t="str">
        <f>IF(_xlfn.XLOOKUP(A37,'Data Set 2 - Vehicles'!$A$2:$A$158,'Data Set 2 - Vehicles'!$E$2:$E$158,"Has No Vehicle",0,-1)=P37,"Has Only One Vehicle",_xlfn.XLOOKUP(A37,'Data Set 2 - Vehicles'!$A$2:$A$158,'Data Set 2 - Vehicles'!$E$2:$E$158,"Has No Vehcile",0,-1))</f>
        <v>Has Only One Vehicle</v>
      </c>
      <c r="T37" s="1" t="str">
        <f>_xlfn.LET(_xlpm.mfcname,_xlfn.XLOOKUP(A37,'Data Set 2 - Vehicles'!$A$2:$A$158,'Data Set 2 - Vehicles'!$D$2:$D$158,"NF",0,-1),_xlpm.mdlname,_xlfn.XLOOKUP(A37,'Data Set 2 - Vehicles'!$A$2:$A$158,'Data Set 2 - Vehicles'!$E$2:$E$158,"NF",0,-1),_xlpm.vehcilename,_xlfn.CONCAT(_xlpm.mfcname," ",_xlpm.mdlname),IF(S37="Has No Vehicle","Has No Vehicle",IF(S37="Has Only One Vehicle","Has Only One Vehicle",IF(_xlpm.vehcilename="NF NF","Not Found",_xlpm.vehcilename))))</f>
        <v>Has Only One Vehicle</v>
      </c>
      <c r="U37" s="24" t="str">
        <f>_xlfn.LET(_xlpm.vserdate,_xlfn.XLOOKUP(A37,'Data Set 2 - Vehicles'!$A$2:$A$158,'Data Set 2 - Vehicles'!$O$2:$O$158,"NF",0,-1), IF(OR('Data Set 1'!S37="Has No Vehicle",'Data Set 1'!S37="Has Only One Vehicle"),'Data Set 1'!S37,_xlpm.vserdate))</f>
        <v>Has Only One Vehicle</v>
      </c>
      <c r="V37" s="1">
        <f>SUMIF('Data Set 2 - Vehicles'!$A$2:$A$158,'Data Set 1'!A37,'Data Set 2 - Vehicles'!$Q$2:$Q$158)</f>
        <v>232959</v>
      </c>
      <c r="W37" s="5">
        <f>_xlfn.LET(_xlpm.maxdate,_xlfn.MAXIFS('Data Set 2 - Vehicles'!$O$2:$O$158,'Data Set 2 - Vehicles'!$A$2:$A$158,'Data Set 1'!A37),IF(_xlpm.maxdate=0,"",_xlpm.maxdate))</f>
        <v>39158</v>
      </c>
      <c r="X37" s="1" t="str">
        <f t="shared" ca="1" si="3"/>
        <v>InActive</v>
      </c>
      <c r="Y3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38" spans="1:25" ht="12.75" x14ac:dyDescent="0.35">
      <c r="A38" s="15">
        <v>1422</v>
      </c>
      <c r="B38" s="1" t="s">
        <v>601</v>
      </c>
      <c r="C38" s="1" t="s">
        <v>602</v>
      </c>
      <c r="D38" s="7"/>
      <c r="E38" s="1" t="s">
        <v>603</v>
      </c>
      <c r="F38" s="1" t="s">
        <v>446</v>
      </c>
      <c r="G38" s="11" t="s">
        <v>448</v>
      </c>
      <c r="H38" s="11">
        <v>80216</v>
      </c>
      <c r="I38" s="1" t="str">
        <f t="shared" si="0"/>
        <v>Virgie Kiel</v>
      </c>
      <c r="J38" s="1" t="str">
        <f t="shared" si="1"/>
        <v>Virgie Kiel</v>
      </c>
      <c r="K38" s="1" t="str">
        <f t="shared" si="2"/>
        <v>76598</v>
      </c>
      <c r="L38" s="1" t="str">
        <f>VLOOKUP(A38,'Data Set 3 - Contacts'!$A$2:$F$136,5,FALSE)</f>
        <v>3037767548</v>
      </c>
      <c r="M38" s="1" t="str">
        <f>VLOOKUP(A38,'Data Set 3 - Contacts'!$A$2:$F$136,6,FALSE)</f>
        <v>3038455408</v>
      </c>
      <c r="N38" s="1" t="str">
        <f>VLOOKUP(A38,'Data Set 3 - Contacts'!$A$2:$F$136,4,FALSE)</f>
        <v>vkiel@hotmail.com</v>
      </c>
      <c r="O38" s="1">
        <f>_xlfn.XLOOKUP(A38,'Data Set 2 - Vehicles'!$A$2:$A$158,'Data Set 2 - Vehicles'!$B$2:$B$158,0,0,-1)</f>
        <v>2</v>
      </c>
      <c r="P38" s="1" t="str">
        <f>_xlfn.XLOOKUP(A38,'Data Set 2 - Vehicles'!$A$2:$A$158,'Data Set 2 - Vehicles'!$E$2:$E$158,"Not Found",0,1)</f>
        <v>Golf</v>
      </c>
      <c r="Q38" s="1" t="str">
        <f>IF(_xlfn.CONCAT(_xlfn.XLOOKUP(A38,'Data Set 2 - Vehicles'!$A$2:$A$158,'Data Set 2 - Vehicles'!$D$2:$D$158,"Not Found",0,1)," ",_xlfn.XLOOKUP(A38,'Data Set 2 - Vehicles'!$A$2:$A$158,'Data Set 2 - Vehicles'!$E$2:$E$158,"Not Found",0,1))="Not Found Not Found", "Not Found",_xlfn.CONCAT(_xlfn.XLOOKUP(A38,'Data Set 2 - Vehicles'!$A$2:$A$158,'Data Set 2 - Vehicles'!$D$2:$D$158,"Not Found",0,1)," ",_xlfn.XLOOKUP(A38,'Data Set 2 - Vehicles'!$A$2:$A$158,'Data Set 2 - Vehicles'!$E$2:$E$158,"Not Found",0,1)))</f>
        <v>Volkswagen Golf</v>
      </c>
      <c r="R38" s="5">
        <f>_xlfn.XLOOKUP(A38,'Data Set 2 - Vehicles'!$A$2:$A$158,'Data Set 2 - Vehicles'!$O$2:$O$158,"",0,1)</f>
        <v>40202</v>
      </c>
      <c r="S38" s="1" t="str">
        <f>IF(_xlfn.XLOOKUP(A38,'Data Set 2 - Vehicles'!$A$2:$A$158,'Data Set 2 - Vehicles'!$E$2:$E$158,"Has No Vehicle",0,-1)=P38,"Has Only One Vehicle",_xlfn.XLOOKUP(A38,'Data Set 2 - Vehicles'!$A$2:$A$158,'Data Set 2 - Vehicles'!$E$2:$E$158,"Has No Vehcile",0,-1))</f>
        <v>Grand Prix</v>
      </c>
      <c r="T38" s="1" t="str">
        <f>_xlfn.LET(_xlpm.mfcname,_xlfn.XLOOKUP(A38,'Data Set 2 - Vehicles'!$A$2:$A$158,'Data Set 2 - Vehicles'!$D$2:$D$158,"NF",0,-1),_xlpm.mdlname,_xlfn.XLOOKUP(A38,'Data Set 2 - Vehicles'!$A$2:$A$158,'Data Set 2 - Vehicles'!$E$2:$E$158,"NF",0,-1),_xlpm.vehcilename,_xlfn.CONCAT(_xlpm.mfcname," ",_xlpm.mdlname),IF(S38="Has No Vehicle","Has No Vehicle",IF(S38="Has Only One Vehicle","Has Only One Vehicle",IF(_xlpm.vehcilename="NF NF","Not Found",_xlpm.vehcilename))))</f>
        <v>Pontiac Grand Prix</v>
      </c>
      <c r="U38" s="24">
        <f>_xlfn.LET(_xlpm.vserdate,_xlfn.XLOOKUP(A38,'Data Set 2 - Vehicles'!$A$2:$A$158,'Data Set 2 - Vehicles'!$O$2:$O$158,"NF",0,-1), IF(OR('Data Set 1'!S38="Has No Vehicle",'Data Set 1'!S38="Has Only One Vehicle"),'Data Set 1'!S38,_xlpm.vserdate))</f>
        <v>40101</v>
      </c>
      <c r="V38" s="1">
        <f>SUMIF('Data Set 2 - Vehicles'!$A$2:$A$158,'Data Set 1'!A38,'Data Set 2 - Vehicles'!$Q$2:$Q$158)</f>
        <v>211410</v>
      </c>
      <c r="W38" s="5">
        <f>_xlfn.LET(_xlpm.maxdate,_xlfn.MAXIFS('Data Set 2 - Vehicles'!$O$2:$O$158,'Data Set 2 - Vehicles'!$A$2:$A$158,'Data Set 1'!A38),IF(_xlpm.maxdate=0,"",_xlpm.maxdate))</f>
        <v>40202</v>
      </c>
      <c r="X38" s="1" t="str">
        <f t="shared" ca="1" si="3"/>
        <v>InActive</v>
      </c>
      <c r="Y3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39" spans="1:25" ht="12.75" x14ac:dyDescent="0.35">
      <c r="A39" s="15">
        <v>1338</v>
      </c>
      <c r="B39" s="1" t="s">
        <v>606</v>
      </c>
      <c r="C39" s="1" t="s">
        <v>607</v>
      </c>
      <c r="D39" s="7"/>
      <c r="E39" s="1" t="s">
        <v>608</v>
      </c>
      <c r="F39" s="1" t="s">
        <v>609</v>
      </c>
      <c r="G39" s="11" t="s">
        <v>610</v>
      </c>
      <c r="H39" s="11">
        <v>54301</v>
      </c>
      <c r="I39" s="1" t="str">
        <f t="shared" si="0"/>
        <v>Kate Keneipp</v>
      </c>
      <c r="J39" s="1" t="str">
        <f t="shared" si="1"/>
        <v>Kate Keneipp</v>
      </c>
      <c r="K39" s="1" t="str">
        <f t="shared" si="2"/>
        <v>33</v>
      </c>
      <c r="L39" s="1" t="str">
        <f>VLOOKUP(A39,'Data Set 3 - Contacts'!$A$2:$F$136,5,FALSE)</f>
        <v>9203536377</v>
      </c>
      <c r="M39" s="1" t="str">
        <f>VLOOKUP(A39,'Data Set 3 - Contacts'!$A$2:$F$136,6,FALSE)</f>
        <v>9203551610</v>
      </c>
      <c r="N39" s="1" t="str">
        <f>VLOOKUP(A39,'Data Set 3 - Contacts'!$A$2:$F$136,4,FALSE)</f>
        <v>kate_keneipp@yahoo.com</v>
      </c>
      <c r="O39" s="1">
        <f>_xlfn.XLOOKUP(A39,'Data Set 2 - Vehicles'!$A$2:$A$158,'Data Set 2 - Vehicles'!$B$2:$B$158,0,0,-1)</f>
        <v>0</v>
      </c>
      <c r="P39" s="1" t="str">
        <f>_xlfn.XLOOKUP(A39,'Data Set 2 - Vehicles'!$A$2:$A$158,'Data Set 2 - Vehicles'!$E$2:$E$158,"Not Found",0,1)</f>
        <v>Not Found</v>
      </c>
      <c r="Q39" s="1" t="str">
        <f>IF(_xlfn.CONCAT(_xlfn.XLOOKUP(A39,'Data Set 2 - Vehicles'!$A$2:$A$158,'Data Set 2 - Vehicles'!$D$2:$D$158,"Not Found",0,1)," ",_xlfn.XLOOKUP(A39,'Data Set 2 - Vehicles'!$A$2:$A$158,'Data Set 2 - Vehicles'!$E$2:$E$158,"Not Found",0,1))="Not Found Not Found", "Not Found",_xlfn.CONCAT(_xlfn.XLOOKUP(A39,'Data Set 2 - Vehicles'!$A$2:$A$158,'Data Set 2 - Vehicles'!$D$2:$D$158,"Not Found",0,1)," ",_xlfn.XLOOKUP(A39,'Data Set 2 - Vehicles'!$A$2:$A$158,'Data Set 2 - Vehicles'!$E$2:$E$158,"Not Found",0,1)))</f>
        <v>Not Found</v>
      </c>
      <c r="R39" s="5" t="str">
        <f>_xlfn.XLOOKUP(A39,'Data Set 2 - Vehicles'!$A$2:$A$158,'Data Set 2 - Vehicles'!$O$2:$O$158,"",0,1)</f>
        <v/>
      </c>
      <c r="S39" s="1" t="str">
        <f>IF(_xlfn.XLOOKUP(A39,'Data Set 2 - Vehicles'!$A$2:$A$158,'Data Set 2 - Vehicles'!$E$2:$E$158,"Has No Vehicle",0,-1)=P39,"Has Only One Vehicle",_xlfn.XLOOKUP(A39,'Data Set 2 - Vehicles'!$A$2:$A$158,'Data Set 2 - Vehicles'!$E$2:$E$158,"Has No Vehcile",0,-1))</f>
        <v>Has No Vehcile</v>
      </c>
      <c r="T39" s="1" t="str">
        <f>_xlfn.LET(_xlpm.mfcname,_xlfn.XLOOKUP(A39,'Data Set 2 - Vehicles'!$A$2:$A$158,'Data Set 2 - Vehicles'!$D$2:$D$158,"NF",0,-1),_xlpm.mdlname,_xlfn.XLOOKUP(A39,'Data Set 2 - Vehicles'!$A$2:$A$158,'Data Set 2 - Vehicles'!$E$2:$E$158,"NF",0,-1),_xlpm.vehcilename,_xlfn.CONCAT(_xlpm.mfcname," ",_xlpm.mdlname),IF(S39="Has No Vehicle","Has No Vehicle",IF(S39="Has Only One Vehicle","Has Only One Vehicle",IF(_xlpm.vehcilename="NF NF","Not Found",_xlpm.vehcilename))))</f>
        <v>Not Found</v>
      </c>
      <c r="U39" s="24" t="str">
        <f>_xlfn.LET(_xlpm.vserdate,_xlfn.XLOOKUP(A39,'Data Set 2 - Vehicles'!$A$2:$A$158,'Data Set 2 - Vehicles'!$O$2:$O$158,"NF",0,-1), IF(OR('Data Set 1'!S39="Has No Vehicle",'Data Set 1'!S39="Has Only One Vehicle"),'Data Set 1'!S39,_xlpm.vserdate))</f>
        <v>NF</v>
      </c>
      <c r="V39" s="1">
        <f>SUMIF('Data Set 2 - Vehicles'!$A$2:$A$158,'Data Set 1'!A39,'Data Set 2 - Vehicles'!$Q$2:$Q$158)</f>
        <v>0</v>
      </c>
      <c r="W39" s="5" t="str">
        <f>_xlfn.LET(_xlpm.maxdate,_xlfn.MAXIFS('Data Set 2 - Vehicles'!$O$2:$O$158,'Data Set 2 - Vehicles'!$A$2:$A$158,'Data Set 1'!A39),IF(_xlpm.maxdate=0,"",_xlpm.maxdate))</f>
        <v/>
      </c>
      <c r="X39" s="1" t="str">
        <f t="shared" ca="1" si="3"/>
        <v>No Service Record</v>
      </c>
      <c r="Y3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40" spans="1:25" ht="12.75" x14ac:dyDescent="0.35">
      <c r="A40" s="15">
        <v>1385</v>
      </c>
      <c r="B40" s="1"/>
      <c r="C40" s="1"/>
      <c r="D40" s="7" t="s">
        <v>611</v>
      </c>
      <c r="E40" s="1" t="s">
        <v>612</v>
      </c>
      <c r="F40" s="1" t="s">
        <v>613</v>
      </c>
      <c r="G40" s="11" t="s">
        <v>582</v>
      </c>
      <c r="H40" s="11">
        <v>44142</v>
      </c>
      <c r="I40" s="1" t="str">
        <f t="shared" si="0"/>
        <v xml:space="preserve"> </v>
      </c>
      <c r="J40" s="1" t="str">
        <f t="shared" si="1"/>
        <v>Del Charro Apartments</v>
      </c>
      <c r="K40" s="1" t="str">
        <f t="shared" si="2"/>
        <v>617</v>
      </c>
      <c r="L40" s="1" t="str">
        <f>VLOOKUP(A40,'Data Set 3 - Contacts'!$A$2:$F$136,5,FALSE)</f>
        <v>2166006111</v>
      </c>
      <c r="M40" s="1" t="str">
        <f>VLOOKUP(A40,'Data Set 3 - Contacts'!$A$2:$F$136,6,FALSE)</f>
        <v>2168716876</v>
      </c>
      <c r="N40" s="1" t="str">
        <f>VLOOKUP(A40,'Data Set 3 - Contacts'!$A$2:$F$136,4,FALSE)</f>
        <v>galen@yahoo.com</v>
      </c>
      <c r="O40" s="1">
        <f>_xlfn.XLOOKUP(A40,'Data Set 2 - Vehicles'!$A$2:$A$158,'Data Set 2 - Vehicles'!$B$2:$B$158,0,0,-1)</f>
        <v>1</v>
      </c>
      <c r="P40" s="1" t="str">
        <f>_xlfn.XLOOKUP(A40,'Data Set 2 - Vehicles'!$A$2:$A$158,'Data Set 2 - Vehicles'!$E$2:$E$158,"Not Found",0,1)</f>
        <v>SLK230</v>
      </c>
      <c r="Q40" s="1" t="str">
        <f>IF(_xlfn.CONCAT(_xlfn.XLOOKUP(A40,'Data Set 2 - Vehicles'!$A$2:$A$158,'Data Set 2 - Vehicles'!$D$2:$D$158,"Not Found",0,1)," ",_xlfn.XLOOKUP(A40,'Data Set 2 - Vehicles'!$A$2:$A$158,'Data Set 2 - Vehicles'!$E$2:$E$158,"Not Found",0,1))="Not Found Not Found", "Not Found",_xlfn.CONCAT(_xlfn.XLOOKUP(A40,'Data Set 2 - Vehicles'!$A$2:$A$158,'Data Set 2 - Vehicles'!$D$2:$D$158,"Not Found",0,1)," ",_xlfn.XLOOKUP(A40,'Data Set 2 - Vehicles'!$A$2:$A$158,'Data Set 2 - Vehicles'!$E$2:$E$158,"Not Found",0,1)))</f>
        <v>Mercedes-B SLK230</v>
      </c>
      <c r="R40" s="5">
        <f>_xlfn.XLOOKUP(A40,'Data Set 2 - Vehicles'!$A$2:$A$158,'Data Set 2 - Vehicles'!$O$2:$O$158,"",0,1)</f>
        <v>40396</v>
      </c>
      <c r="S40" s="1" t="str">
        <f>IF(_xlfn.XLOOKUP(A40,'Data Set 2 - Vehicles'!$A$2:$A$158,'Data Set 2 - Vehicles'!$E$2:$E$158,"Has No Vehicle",0,-1)=P40,"Has Only One Vehicle",_xlfn.XLOOKUP(A40,'Data Set 2 - Vehicles'!$A$2:$A$158,'Data Set 2 - Vehicles'!$E$2:$E$158,"Has No Vehcile",0,-1))</f>
        <v>Has Only One Vehicle</v>
      </c>
      <c r="T40" s="1" t="str">
        <f>_xlfn.LET(_xlpm.mfcname,_xlfn.XLOOKUP(A40,'Data Set 2 - Vehicles'!$A$2:$A$158,'Data Set 2 - Vehicles'!$D$2:$D$158,"NF",0,-1),_xlpm.mdlname,_xlfn.XLOOKUP(A40,'Data Set 2 - Vehicles'!$A$2:$A$158,'Data Set 2 - Vehicles'!$E$2:$E$158,"NF",0,-1),_xlpm.vehcilename,_xlfn.CONCAT(_xlpm.mfcname," ",_xlpm.mdlname),IF(S40="Has No Vehicle","Has No Vehicle",IF(S40="Has Only One Vehicle","Has Only One Vehicle",IF(_xlpm.vehcilename="NF NF","Not Found",_xlpm.vehcilename))))</f>
        <v>Has Only One Vehicle</v>
      </c>
      <c r="U40" s="24" t="str">
        <f>_xlfn.LET(_xlpm.vserdate,_xlfn.XLOOKUP(A40,'Data Set 2 - Vehicles'!$A$2:$A$158,'Data Set 2 - Vehicles'!$O$2:$O$158,"NF",0,-1), IF(OR('Data Set 1'!S40="Has No Vehicle",'Data Set 1'!S40="Has Only One Vehicle"),'Data Set 1'!S40,_xlpm.vserdate))</f>
        <v>Has Only One Vehicle</v>
      </c>
      <c r="V40" s="1">
        <f>SUMIF('Data Set 2 - Vehicles'!$A$2:$A$158,'Data Set 1'!A40,'Data Set 2 - Vehicles'!$Q$2:$Q$158)</f>
        <v>59409</v>
      </c>
      <c r="W40" s="5">
        <f>_xlfn.LET(_xlpm.maxdate,_xlfn.MAXIFS('Data Set 2 - Vehicles'!$O$2:$O$158,'Data Set 2 - Vehicles'!$A$2:$A$158,'Data Set 1'!A40),IF(_xlpm.maxdate=0,"",_xlpm.maxdate))</f>
        <v>40396</v>
      </c>
      <c r="X40" s="1" t="str">
        <f t="shared" ca="1" si="3"/>
        <v>InActive</v>
      </c>
      <c r="Y4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41" spans="1:25" ht="12.75" x14ac:dyDescent="0.35">
      <c r="A41" s="15">
        <v>1124</v>
      </c>
      <c r="B41" s="1" t="s">
        <v>615</v>
      </c>
      <c r="C41" s="1" t="s">
        <v>616</v>
      </c>
      <c r="D41" s="7" t="s">
        <v>617</v>
      </c>
      <c r="E41" s="1" t="s">
        <v>618</v>
      </c>
      <c r="F41" s="1" t="s">
        <v>619</v>
      </c>
      <c r="G41" s="11" t="s">
        <v>435</v>
      </c>
      <c r="H41" s="11">
        <v>94606</v>
      </c>
      <c r="I41" s="1" t="str">
        <f t="shared" si="0"/>
        <v>Devora Perez</v>
      </c>
      <c r="J41" s="1" t="str">
        <f t="shared" si="1"/>
        <v>Devora Perez</v>
      </c>
      <c r="K41" s="1" t="str">
        <f t="shared" si="2"/>
        <v>72868</v>
      </c>
      <c r="L41" s="1" t="str">
        <f>VLOOKUP(A41,'Data Set 3 - Contacts'!$A$2:$F$136,5,FALSE)</f>
        <v>5109553016</v>
      </c>
      <c r="M41" s="1" t="str">
        <f>VLOOKUP(A41,'Data Set 3 - Contacts'!$A$2:$F$136,6,FALSE)</f>
        <v/>
      </c>
      <c r="N41" s="1" t="str">
        <f>VLOOKUP(A41,'Data Set 3 - Contacts'!$A$2:$F$136,4,FALSE)</f>
        <v>devora_perez@perez.org</v>
      </c>
      <c r="O41" s="1">
        <f>_xlfn.XLOOKUP(A41,'Data Set 2 - Vehicles'!$A$2:$A$158,'Data Set 2 - Vehicles'!$B$2:$B$158,0,0,-1)</f>
        <v>2</v>
      </c>
      <c r="P41" s="1" t="str">
        <f>_xlfn.XLOOKUP(A41,'Data Set 2 - Vehicles'!$A$2:$A$158,'Data Set 2 - Vehicles'!$E$2:$E$158,"Not Found",0,1)</f>
        <v>Taurus</v>
      </c>
      <c r="Q41" s="1" t="str">
        <f>IF(_xlfn.CONCAT(_xlfn.XLOOKUP(A41,'Data Set 2 - Vehicles'!$A$2:$A$158,'Data Set 2 - Vehicles'!$D$2:$D$158,"Not Found",0,1)," ",_xlfn.XLOOKUP(A41,'Data Set 2 - Vehicles'!$A$2:$A$158,'Data Set 2 - Vehicles'!$E$2:$E$158,"Not Found",0,1))="Not Found Not Found", "Not Found",_xlfn.CONCAT(_xlfn.XLOOKUP(A41,'Data Set 2 - Vehicles'!$A$2:$A$158,'Data Set 2 - Vehicles'!$D$2:$D$158,"Not Found",0,1)," ",_xlfn.XLOOKUP(A41,'Data Set 2 - Vehicles'!$A$2:$A$158,'Data Set 2 - Vehicles'!$E$2:$E$158,"Not Found",0,1)))</f>
        <v>Ford Taurus</v>
      </c>
      <c r="R41" s="5">
        <f>_xlfn.XLOOKUP(A41,'Data Set 2 - Vehicles'!$A$2:$A$158,'Data Set 2 - Vehicles'!$O$2:$O$158,"",0,1)</f>
        <v>44185</v>
      </c>
      <c r="S41" s="1" t="str">
        <f>IF(_xlfn.XLOOKUP(A41,'Data Set 2 - Vehicles'!$A$2:$A$158,'Data Set 2 - Vehicles'!$E$2:$E$158,"Has No Vehicle",0,-1)=P41,"Has Only One Vehicle",_xlfn.XLOOKUP(A41,'Data Set 2 - Vehicles'!$A$2:$A$158,'Data Set 2 - Vehicles'!$E$2:$E$158,"Has No Vehcile",0,-1))</f>
        <v>A6</v>
      </c>
      <c r="T41" s="1" t="str">
        <f>_xlfn.LET(_xlpm.mfcname,_xlfn.XLOOKUP(A41,'Data Set 2 - Vehicles'!$A$2:$A$158,'Data Set 2 - Vehicles'!$D$2:$D$158,"NF",0,-1),_xlpm.mdlname,_xlfn.XLOOKUP(A41,'Data Set 2 - Vehicles'!$A$2:$A$158,'Data Set 2 - Vehicles'!$E$2:$E$158,"NF",0,-1),_xlpm.vehcilename,_xlfn.CONCAT(_xlpm.mfcname," ",_xlpm.mdlname),IF(S41="Has No Vehicle","Has No Vehicle",IF(S41="Has Only One Vehicle","Has Only One Vehicle",IF(_xlpm.vehcilename="NF NF","Not Found",_xlpm.vehcilename))))</f>
        <v>Audi A6</v>
      </c>
      <c r="U41" s="24">
        <f>_xlfn.LET(_xlpm.vserdate,_xlfn.XLOOKUP(A41,'Data Set 2 - Vehicles'!$A$2:$A$158,'Data Set 2 - Vehicles'!$O$2:$O$158,"NF",0,-1), IF(OR('Data Set 1'!S41="Has No Vehicle",'Data Set 1'!S41="Has Only One Vehicle"),'Data Set 1'!S41,_xlpm.vserdate))</f>
        <v>40764</v>
      </c>
      <c r="V41" s="1">
        <f>SUMIF('Data Set 2 - Vehicles'!$A$2:$A$158,'Data Set 1'!A41,'Data Set 2 - Vehicles'!$Q$2:$Q$158)</f>
        <v>284883</v>
      </c>
      <c r="W41" s="5">
        <f>_xlfn.LET(_xlpm.maxdate,_xlfn.MAXIFS('Data Set 2 - Vehicles'!$O$2:$O$158,'Data Set 2 - Vehicles'!$A$2:$A$158,'Data Set 1'!A41),IF(_xlpm.maxdate=0,"",_xlpm.maxdate))</f>
        <v>44185</v>
      </c>
      <c r="X41" s="1" t="str">
        <f t="shared" ca="1" si="3"/>
        <v>InActive</v>
      </c>
      <c r="Y4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42" spans="1:25" ht="12.75" x14ac:dyDescent="0.35">
      <c r="A42" s="15">
        <v>1104</v>
      </c>
      <c r="B42" s="1"/>
      <c r="C42" s="1"/>
      <c r="D42" s="7" t="s">
        <v>621</v>
      </c>
      <c r="E42" s="1" t="s">
        <v>622</v>
      </c>
      <c r="F42" s="1" t="s">
        <v>623</v>
      </c>
      <c r="G42" s="11" t="s">
        <v>624</v>
      </c>
      <c r="H42" s="11">
        <v>55337</v>
      </c>
      <c r="I42" s="1" t="str">
        <f t="shared" si="0"/>
        <v xml:space="preserve"> </v>
      </c>
      <c r="J42" s="1" t="str">
        <f t="shared" si="1"/>
        <v>Di Cristina J &amp; Son</v>
      </c>
      <c r="K42" s="1" t="str">
        <f t="shared" si="2"/>
        <v>170</v>
      </c>
      <c r="L42" s="1" t="str">
        <f>VLOOKUP(A42,'Data Set 3 - Contacts'!$A$2:$F$136,5,FALSE)</f>
        <v>9523349408</v>
      </c>
      <c r="M42" s="1" t="str">
        <f>VLOOKUP(A42,'Data Set 3 - Contacts'!$A$2:$F$136,6,FALSE)</f>
        <v>9529389457</v>
      </c>
      <c r="N42" s="1" t="str">
        <f>VLOOKUP(A42,'Data Set 3 - Contacts'!$A$2:$F$136,4,FALSE)</f>
        <v>cgoldammer@cox.net</v>
      </c>
      <c r="O42" s="1">
        <f>_xlfn.XLOOKUP(A42,'Data Set 2 - Vehicles'!$A$2:$A$158,'Data Set 2 - Vehicles'!$B$2:$B$158,0,0,-1)</f>
        <v>1</v>
      </c>
      <c r="P42" s="1" t="str">
        <f>_xlfn.XLOOKUP(A42,'Data Set 2 - Vehicles'!$A$2:$A$158,'Data Set 2 - Vehicles'!$E$2:$E$158,"Not Found",0,1)</f>
        <v>M-Class</v>
      </c>
      <c r="Q42" s="1" t="str">
        <f>IF(_xlfn.CONCAT(_xlfn.XLOOKUP(A42,'Data Set 2 - Vehicles'!$A$2:$A$158,'Data Set 2 - Vehicles'!$D$2:$D$158,"Not Found",0,1)," ",_xlfn.XLOOKUP(A42,'Data Set 2 - Vehicles'!$A$2:$A$158,'Data Set 2 - Vehicles'!$E$2:$E$158,"Not Found",0,1))="Not Found Not Found", "Not Found",_xlfn.CONCAT(_xlfn.XLOOKUP(A42,'Data Set 2 - Vehicles'!$A$2:$A$158,'Data Set 2 - Vehicles'!$D$2:$D$158,"Not Found",0,1)," ",_xlfn.XLOOKUP(A42,'Data Set 2 - Vehicles'!$A$2:$A$158,'Data Set 2 - Vehicles'!$E$2:$E$158,"Not Found",0,1)))</f>
        <v>Mercedes-B M-Class</v>
      </c>
      <c r="R42" s="5">
        <f>_xlfn.XLOOKUP(A42,'Data Set 2 - Vehicles'!$A$2:$A$158,'Data Set 2 - Vehicles'!$O$2:$O$158,"",0,1)</f>
        <v>44237</v>
      </c>
      <c r="S42" s="1" t="str">
        <f>IF(_xlfn.XLOOKUP(A42,'Data Set 2 - Vehicles'!$A$2:$A$158,'Data Set 2 - Vehicles'!$E$2:$E$158,"Has No Vehicle",0,-1)=P42,"Has Only One Vehicle",_xlfn.XLOOKUP(A42,'Data Set 2 - Vehicles'!$A$2:$A$158,'Data Set 2 - Vehicles'!$E$2:$E$158,"Has No Vehcile",0,-1))</f>
        <v>Has Only One Vehicle</v>
      </c>
      <c r="T42" s="1" t="str">
        <f>_xlfn.LET(_xlpm.mfcname,_xlfn.XLOOKUP(A42,'Data Set 2 - Vehicles'!$A$2:$A$158,'Data Set 2 - Vehicles'!$D$2:$D$158,"NF",0,-1),_xlpm.mdlname,_xlfn.XLOOKUP(A42,'Data Set 2 - Vehicles'!$A$2:$A$158,'Data Set 2 - Vehicles'!$E$2:$E$158,"NF",0,-1),_xlpm.vehcilename,_xlfn.CONCAT(_xlpm.mfcname," ",_xlpm.mdlname),IF(S42="Has No Vehicle","Has No Vehicle",IF(S42="Has Only One Vehicle","Has Only One Vehicle",IF(_xlpm.vehcilename="NF NF","Not Found",_xlpm.vehcilename))))</f>
        <v>Has Only One Vehicle</v>
      </c>
      <c r="U42" s="24" t="str">
        <f>_xlfn.LET(_xlpm.vserdate,_xlfn.XLOOKUP(A42,'Data Set 2 - Vehicles'!$A$2:$A$158,'Data Set 2 - Vehicles'!$O$2:$O$158,"NF",0,-1), IF(OR('Data Set 1'!S42="Has No Vehicle",'Data Set 1'!S42="Has Only One Vehicle"),'Data Set 1'!S42,_xlpm.vserdate))</f>
        <v>Has Only One Vehicle</v>
      </c>
      <c r="V42" s="1">
        <f>SUMIF('Data Set 2 - Vehicles'!$A$2:$A$158,'Data Set 1'!A42,'Data Set 2 - Vehicles'!$Q$2:$Q$158)</f>
        <v>152140</v>
      </c>
      <c r="W42" s="5">
        <f>_xlfn.LET(_xlpm.maxdate,_xlfn.MAXIFS('Data Set 2 - Vehicles'!$O$2:$O$158,'Data Set 2 - Vehicles'!$A$2:$A$158,'Data Set 1'!A42),IF(_xlpm.maxdate=0,"",_xlpm.maxdate))</f>
        <v>44237</v>
      </c>
      <c r="X42" s="1" t="str">
        <f t="shared" ca="1" si="3"/>
        <v>InActive</v>
      </c>
      <c r="Y4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43" spans="1:25" ht="12.75" x14ac:dyDescent="0.35">
      <c r="A43" s="17">
        <v>1452</v>
      </c>
      <c r="B43" s="1" t="s">
        <v>625</v>
      </c>
      <c r="C43" s="1" t="s">
        <v>626</v>
      </c>
      <c r="D43" s="7"/>
      <c r="E43" s="1" t="s">
        <v>627</v>
      </c>
      <c r="F43" s="1" t="s">
        <v>628</v>
      </c>
      <c r="G43" s="11" t="s">
        <v>576</v>
      </c>
      <c r="H43" s="11">
        <v>28301</v>
      </c>
      <c r="I43" s="1" t="str">
        <f t="shared" si="0"/>
        <v>Lonna Diestel</v>
      </c>
      <c r="J43" s="1" t="str">
        <f t="shared" si="1"/>
        <v>Lonna Diestel</v>
      </c>
      <c r="K43" s="1" t="str">
        <f t="shared" si="2"/>
        <v>1482</v>
      </c>
      <c r="L43" s="1" t="str">
        <f>VLOOKUP(A43,'Data Set 3 - Contacts'!$A$2:$F$136,5,FALSE)</f>
        <v>9109223672</v>
      </c>
      <c r="M43" s="1" t="str">
        <f>VLOOKUP(A43,'Data Set 3 - Contacts'!$A$2:$F$136,6,FALSE)</f>
        <v>9102007912</v>
      </c>
      <c r="N43" s="1" t="str">
        <f>VLOOKUP(A43,'Data Set 3 - Contacts'!$A$2:$F$136,4,FALSE)</f>
        <v>lonna_diestel@gmail.com</v>
      </c>
      <c r="O43" s="1">
        <f>_xlfn.XLOOKUP(A43,'Data Set 2 - Vehicles'!$A$2:$A$158,'Data Set 2 - Vehicles'!$B$2:$B$158,0,0,-1)</f>
        <v>1</v>
      </c>
      <c r="P43" s="1" t="str">
        <f>_xlfn.XLOOKUP(A43,'Data Set 2 - Vehicles'!$A$2:$A$158,'Data Set 2 - Vehicles'!$E$2:$E$158,"Not Found",0,1)</f>
        <v>E-Class</v>
      </c>
      <c r="Q43" s="1" t="str">
        <f>IF(_xlfn.CONCAT(_xlfn.XLOOKUP(A43,'Data Set 2 - Vehicles'!$A$2:$A$158,'Data Set 2 - Vehicles'!$D$2:$D$158,"Not Found",0,1)," ",_xlfn.XLOOKUP(A43,'Data Set 2 - Vehicles'!$A$2:$A$158,'Data Set 2 - Vehicles'!$E$2:$E$158,"Not Found",0,1))="Not Found Not Found", "Not Found",_xlfn.CONCAT(_xlfn.XLOOKUP(A43,'Data Set 2 - Vehicles'!$A$2:$A$158,'Data Set 2 - Vehicles'!$D$2:$D$158,"Not Found",0,1)," ",_xlfn.XLOOKUP(A43,'Data Set 2 - Vehicles'!$A$2:$A$158,'Data Set 2 - Vehicles'!$E$2:$E$158,"Not Found",0,1)))</f>
        <v>Mercedes-B E-Class</v>
      </c>
      <c r="R43" s="5">
        <f>_xlfn.XLOOKUP(A43,'Data Set 2 - Vehicles'!$A$2:$A$158,'Data Set 2 - Vehicles'!$O$2:$O$158,"",0,1)</f>
        <v>39641</v>
      </c>
      <c r="S43" s="1" t="str">
        <f>IF(_xlfn.XLOOKUP(A43,'Data Set 2 - Vehicles'!$A$2:$A$158,'Data Set 2 - Vehicles'!$E$2:$E$158,"Has No Vehicle",0,-1)=P43,"Has Only One Vehicle",_xlfn.XLOOKUP(A43,'Data Set 2 - Vehicles'!$A$2:$A$158,'Data Set 2 - Vehicles'!$E$2:$E$158,"Has No Vehcile",0,-1))</f>
        <v>Has Only One Vehicle</v>
      </c>
      <c r="T43" s="1" t="str">
        <f>_xlfn.LET(_xlpm.mfcname,_xlfn.XLOOKUP(A43,'Data Set 2 - Vehicles'!$A$2:$A$158,'Data Set 2 - Vehicles'!$D$2:$D$158,"NF",0,-1),_xlpm.mdlname,_xlfn.XLOOKUP(A43,'Data Set 2 - Vehicles'!$A$2:$A$158,'Data Set 2 - Vehicles'!$E$2:$E$158,"NF",0,-1),_xlpm.vehcilename,_xlfn.CONCAT(_xlpm.mfcname," ",_xlpm.mdlname),IF(S43="Has No Vehicle","Has No Vehicle",IF(S43="Has Only One Vehicle","Has Only One Vehicle",IF(_xlpm.vehcilename="NF NF","Not Found",_xlpm.vehcilename))))</f>
        <v>Has Only One Vehicle</v>
      </c>
      <c r="U43" s="24" t="str">
        <f>_xlfn.LET(_xlpm.vserdate,_xlfn.XLOOKUP(A43,'Data Set 2 - Vehicles'!$A$2:$A$158,'Data Set 2 - Vehicles'!$O$2:$O$158,"NF",0,-1), IF(OR('Data Set 1'!S43="Has No Vehicle",'Data Set 1'!S43="Has Only One Vehicle"),'Data Set 1'!S43,_xlpm.vserdate))</f>
        <v>Has Only One Vehicle</v>
      </c>
      <c r="V43" s="1">
        <f>SUMIF('Data Set 2 - Vehicles'!$A$2:$A$158,'Data Set 1'!A43,'Data Set 2 - Vehicles'!$Q$2:$Q$158)</f>
        <v>246320</v>
      </c>
      <c r="W43" s="5">
        <f>_xlfn.LET(_xlpm.maxdate,_xlfn.MAXIFS('Data Set 2 - Vehicles'!$O$2:$O$158,'Data Set 2 - Vehicles'!$A$2:$A$158,'Data Set 1'!A43),IF(_xlpm.maxdate=0,"",_xlpm.maxdate))</f>
        <v>39641</v>
      </c>
      <c r="X43" s="1" t="str">
        <f t="shared" ca="1" si="3"/>
        <v>InActive</v>
      </c>
      <c r="Y4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44" spans="1:25" ht="12.75" x14ac:dyDescent="0.35">
      <c r="A44" s="17">
        <v>1484</v>
      </c>
      <c r="B44" s="1" t="s">
        <v>630</v>
      </c>
      <c r="C44" s="1" t="s">
        <v>631</v>
      </c>
      <c r="D44" s="7"/>
      <c r="E44" s="1" t="s">
        <v>632</v>
      </c>
      <c r="F44" s="1" t="s">
        <v>634</v>
      </c>
      <c r="G44" s="11" t="s">
        <v>610</v>
      </c>
      <c r="H44" s="11">
        <v>53715</v>
      </c>
      <c r="I44" s="1" t="str">
        <f t="shared" si="0"/>
        <v>Janey Gabisi</v>
      </c>
      <c r="J44" s="1" t="str">
        <f t="shared" si="1"/>
        <v>Janey Gabisi</v>
      </c>
      <c r="K44" s="1" t="str">
        <f t="shared" si="2"/>
        <v>40</v>
      </c>
      <c r="L44" s="1" t="str">
        <f>VLOOKUP(A44,'Data Set 3 - Contacts'!$A$2:$F$136,5,FALSE)</f>
        <v>6089677194</v>
      </c>
      <c r="M44" s="1" t="str">
        <f>VLOOKUP(A44,'Data Set 3 - Contacts'!$A$2:$F$136,6,FALSE)</f>
        <v>6085866912</v>
      </c>
      <c r="N44" s="1" t="str">
        <f>VLOOKUP(A44,'Data Set 3 - Contacts'!$A$2:$F$136,4,FALSE)</f>
        <v>jgabisi@hotmail.com</v>
      </c>
      <c r="O44" s="1">
        <f>_xlfn.XLOOKUP(A44,'Data Set 2 - Vehicles'!$A$2:$A$158,'Data Set 2 - Vehicles'!$B$2:$B$158,0,0,-1)</f>
        <v>2</v>
      </c>
      <c r="P44" s="1" t="str">
        <f>_xlfn.XLOOKUP(A44,'Data Set 2 - Vehicles'!$A$2:$A$158,'Data Set 2 - Vehicles'!$E$2:$E$158,"Not Found",0,1)</f>
        <v>Aurora</v>
      </c>
      <c r="Q44" s="1" t="str">
        <f>IF(_xlfn.CONCAT(_xlfn.XLOOKUP(A44,'Data Set 2 - Vehicles'!$A$2:$A$158,'Data Set 2 - Vehicles'!$D$2:$D$158,"Not Found",0,1)," ",_xlfn.XLOOKUP(A44,'Data Set 2 - Vehicles'!$A$2:$A$158,'Data Set 2 - Vehicles'!$E$2:$E$158,"Not Found",0,1))="Not Found Not Found", "Not Found",_xlfn.CONCAT(_xlfn.XLOOKUP(A44,'Data Set 2 - Vehicles'!$A$2:$A$158,'Data Set 2 - Vehicles'!$D$2:$D$158,"Not Found",0,1)," ",_xlfn.XLOOKUP(A44,'Data Set 2 - Vehicles'!$A$2:$A$158,'Data Set 2 - Vehicles'!$E$2:$E$158,"Not Found",0,1)))</f>
        <v>Oldsmobile Aurora</v>
      </c>
      <c r="R44" s="5">
        <f>_xlfn.XLOOKUP(A44,'Data Set 2 - Vehicles'!$A$2:$A$158,'Data Set 2 - Vehicles'!$O$2:$O$158,"",0,1)</f>
        <v>43879</v>
      </c>
      <c r="S44" s="1" t="str">
        <f>IF(_xlfn.XLOOKUP(A44,'Data Set 2 - Vehicles'!$A$2:$A$158,'Data Set 2 - Vehicles'!$E$2:$E$158,"Has No Vehicle",0,-1)=P44,"Has Only One Vehicle",_xlfn.XLOOKUP(A44,'Data Set 2 - Vehicles'!$A$2:$A$158,'Data Set 2 - Vehicles'!$E$2:$E$158,"Has No Vehcile",0,-1))</f>
        <v>Forester</v>
      </c>
      <c r="T44" s="1" t="str">
        <f>_xlfn.LET(_xlpm.mfcname,_xlfn.XLOOKUP(A44,'Data Set 2 - Vehicles'!$A$2:$A$158,'Data Set 2 - Vehicles'!$D$2:$D$158,"NF",0,-1),_xlpm.mdlname,_xlfn.XLOOKUP(A44,'Data Set 2 - Vehicles'!$A$2:$A$158,'Data Set 2 - Vehicles'!$E$2:$E$158,"NF",0,-1),_xlpm.vehcilename,_xlfn.CONCAT(_xlpm.mfcname," ",_xlpm.mdlname),IF(S44="Has No Vehicle","Has No Vehicle",IF(S44="Has Only One Vehicle","Has Only One Vehicle",IF(_xlpm.vehcilename="NF NF","Not Found",_xlpm.vehcilename))))</f>
        <v>Subaru Forester</v>
      </c>
      <c r="U44" s="24">
        <f>_xlfn.LET(_xlpm.vserdate,_xlfn.XLOOKUP(A44,'Data Set 2 - Vehicles'!$A$2:$A$158,'Data Set 2 - Vehicles'!$O$2:$O$158,"NF",0,-1), IF(OR('Data Set 1'!S44="Has No Vehicle",'Data Set 1'!S44="Has Only One Vehicle"),'Data Set 1'!S44,_xlpm.vserdate))</f>
        <v>40796</v>
      </c>
      <c r="V44" s="1">
        <f>SUMIF('Data Set 2 - Vehicles'!$A$2:$A$158,'Data Set 1'!A44,'Data Set 2 - Vehicles'!$Q$2:$Q$158)</f>
        <v>349278</v>
      </c>
      <c r="W44" s="5">
        <f>_xlfn.LET(_xlpm.maxdate,_xlfn.MAXIFS('Data Set 2 - Vehicles'!$O$2:$O$158,'Data Set 2 - Vehicles'!$A$2:$A$158,'Data Set 1'!A44),IF(_xlpm.maxdate=0,"",_xlpm.maxdate))</f>
        <v>43879</v>
      </c>
      <c r="X44" s="1" t="str">
        <f t="shared" ca="1" si="3"/>
        <v>InActive</v>
      </c>
      <c r="Y4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45" spans="1:25" ht="12.75" x14ac:dyDescent="0.35">
      <c r="A45" s="15">
        <v>1198</v>
      </c>
      <c r="B45" s="1"/>
      <c r="C45" s="1"/>
      <c r="D45" s="7" t="s">
        <v>635</v>
      </c>
      <c r="E45" s="1" t="s">
        <v>636</v>
      </c>
      <c r="F45" s="1" t="s">
        <v>637</v>
      </c>
      <c r="G45" s="11" t="s">
        <v>461</v>
      </c>
      <c r="H45" s="11">
        <v>30135</v>
      </c>
      <c r="I45" s="1" t="str">
        <f t="shared" si="0"/>
        <v xml:space="preserve"> </v>
      </c>
      <c r="J45" s="1" t="str">
        <f t="shared" si="1"/>
        <v>Eagle Software Inc</v>
      </c>
      <c r="K45" s="1" t="str">
        <f t="shared" si="2"/>
        <v>5384</v>
      </c>
      <c r="L45" s="1" t="str">
        <f>VLOOKUP(A45,'Data Set 3 - Contacts'!$A$2:$F$136,5,FALSE)</f>
        <v>7705078791</v>
      </c>
      <c r="M45" s="1" t="str">
        <f>VLOOKUP(A45,'Data Set 3 - Contacts'!$A$2:$F$136,6,FALSE)</f>
        <v>7708024003</v>
      </c>
      <c r="N45" s="1" t="str">
        <f>VLOOKUP(A45,'Data Set 3 - Contacts'!$A$2:$F$136,4,FALSE)</f>
        <v>belen_strassner@aol.com</v>
      </c>
      <c r="O45" s="1">
        <f>_xlfn.XLOOKUP(A45,'Data Set 2 - Vehicles'!$A$2:$A$158,'Data Set 2 - Vehicles'!$B$2:$B$158,0,0,-1)</f>
        <v>2</v>
      </c>
      <c r="P45" s="1">
        <f>_xlfn.XLOOKUP(A45,'Data Set 2 - Vehicles'!$A$2:$A$158,'Data Set 2 - Vehicles'!$E$2:$E$158,"Not Found",0,1)</f>
        <v>44809</v>
      </c>
      <c r="Q45" s="1" t="str">
        <f>IF(_xlfn.CONCAT(_xlfn.XLOOKUP(A45,'Data Set 2 - Vehicles'!$A$2:$A$158,'Data Set 2 - Vehicles'!$D$2:$D$158,"Not Found",0,1)," ",_xlfn.XLOOKUP(A45,'Data Set 2 - Vehicles'!$A$2:$A$158,'Data Set 2 - Vehicles'!$E$2:$E$158,"Not Found",0,1))="Not Found Not Found", "Not Found",_xlfn.CONCAT(_xlfn.XLOOKUP(A45,'Data Set 2 - Vehicles'!$A$2:$A$158,'Data Set 2 - Vehicles'!$D$2:$D$158,"Not Found",0,1)," ",_xlfn.XLOOKUP(A45,'Data Set 2 - Vehicles'!$A$2:$A$158,'Data Set 2 - Vehicles'!$E$2:$E$158,"Not Found",0,1)))</f>
        <v>Saab 44809</v>
      </c>
      <c r="R45" s="5">
        <f>_xlfn.XLOOKUP(A45,'Data Set 2 - Vehicles'!$A$2:$A$158,'Data Set 2 - Vehicles'!$O$2:$O$158,"",0,1)</f>
        <v>38665</v>
      </c>
      <c r="S45" s="1" t="str">
        <f>IF(_xlfn.XLOOKUP(A45,'Data Set 2 - Vehicles'!$A$2:$A$158,'Data Set 2 - Vehicles'!$E$2:$E$158,"Has No Vehicle",0,-1)=P45,"Has Only One Vehicle",_xlfn.XLOOKUP(A45,'Data Set 2 - Vehicles'!$A$2:$A$158,'Data Set 2 - Vehicles'!$E$2:$E$158,"Has No Vehcile",0,-1))</f>
        <v>S40</v>
      </c>
      <c r="T45" s="1" t="str">
        <f>_xlfn.LET(_xlpm.mfcname,_xlfn.XLOOKUP(A45,'Data Set 2 - Vehicles'!$A$2:$A$158,'Data Set 2 - Vehicles'!$D$2:$D$158,"NF",0,-1),_xlpm.mdlname,_xlfn.XLOOKUP(A45,'Data Set 2 - Vehicles'!$A$2:$A$158,'Data Set 2 - Vehicles'!$E$2:$E$158,"NF",0,-1),_xlpm.vehcilename,_xlfn.CONCAT(_xlpm.mfcname," ",_xlpm.mdlname),IF(S45="Has No Vehicle","Has No Vehicle",IF(S45="Has Only One Vehicle","Has Only One Vehicle",IF(_xlpm.vehcilename="NF NF","Not Found",_xlpm.vehcilename))))</f>
        <v>Volvo S40</v>
      </c>
      <c r="U45" s="24">
        <f>_xlfn.LET(_xlpm.vserdate,_xlfn.XLOOKUP(A45,'Data Set 2 - Vehicles'!$A$2:$A$158,'Data Set 2 - Vehicles'!$O$2:$O$158,"NF",0,-1), IF(OR('Data Set 1'!S45="Has No Vehicle",'Data Set 1'!S45="Has Only One Vehicle"),'Data Set 1'!S45,_xlpm.vserdate))</f>
        <v>44245</v>
      </c>
      <c r="V45" s="1">
        <f>SUMIF('Data Set 2 - Vehicles'!$A$2:$A$158,'Data Set 1'!A45,'Data Set 2 - Vehicles'!$Q$2:$Q$158)</f>
        <v>468246</v>
      </c>
      <c r="W45" s="5">
        <f>_xlfn.LET(_xlpm.maxdate,_xlfn.MAXIFS('Data Set 2 - Vehicles'!$O$2:$O$158,'Data Set 2 - Vehicles'!$A$2:$A$158,'Data Set 1'!A45),IF(_xlpm.maxdate=0,"",_xlpm.maxdate))</f>
        <v>44245</v>
      </c>
      <c r="X45" s="1" t="str">
        <f t="shared" ca="1" si="3"/>
        <v>InActive</v>
      </c>
      <c r="Y4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46" spans="1:25" ht="12.75" x14ac:dyDescent="0.35">
      <c r="A46" s="15">
        <v>1084</v>
      </c>
      <c r="B46" s="1" t="s">
        <v>639</v>
      </c>
      <c r="C46" s="1" t="s">
        <v>640</v>
      </c>
      <c r="D46" s="7" t="s">
        <v>641</v>
      </c>
      <c r="E46" s="1" t="s">
        <v>642</v>
      </c>
      <c r="F46" s="1" t="s">
        <v>643</v>
      </c>
      <c r="G46" s="11" t="s">
        <v>435</v>
      </c>
      <c r="H46" s="11">
        <v>94545</v>
      </c>
      <c r="I46" s="1" t="str">
        <f t="shared" si="0"/>
        <v>Dominque Dickerson</v>
      </c>
      <c r="J46" s="1" t="str">
        <f t="shared" si="1"/>
        <v>Dominque Dickerson</v>
      </c>
      <c r="K46" s="1" t="str">
        <f t="shared" si="2"/>
        <v>69</v>
      </c>
      <c r="L46" s="1" t="str">
        <f>VLOOKUP(A46,'Data Set 3 - Contacts'!$A$2:$F$136,5,FALSE)</f>
        <v>5109933758</v>
      </c>
      <c r="M46" s="1" t="str">
        <f>VLOOKUP(A46,'Data Set 3 - Contacts'!$A$2:$F$136,6,FALSE)</f>
        <v>5109017640</v>
      </c>
      <c r="N46" s="1" t="str">
        <f>VLOOKUP(A46,'Data Set 3 - Contacts'!$A$2:$F$136,4,FALSE)</f>
        <v>dominque.dickerson@dickerson.org</v>
      </c>
      <c r="O46" s="1">
        <f>_xlfn.XLOOKUP(A46,'Data Set 2 - Vehicles'!$A$2:$A$158,'Data Set 2 - Vehicles'!$B$2:$B$158,0,0,-1)</f>
        <v>2</v>
      </c>
      <c r="P46" s="1" t="str">
        <f>_xlfn.XLOOKUP(A46,'Data Set 2 - Vehicles'!$A$2:$A$158,'Data Set 2 - Vehicles'!$E$2:$E$158,"Not Found",0,1)</f>
        <v>A8</v>
      </c>
      <c r="Q46" s="1" t="str">
        <f>IF(_xlfn.CONCAT(_xlfn.XLOOKUP(A46,'Data Set 2 - Vehicles'!$A$2:$A$158,'Data Set 2 - Vehicles'!$D$2:$D$158,"Not Found",0,1)," ",_xlfn.XLOOKUP(A46,'Data Set 2 - Vehicles'!$A$2:$A$158,'Data Set 2 - Vehicles'!$E$2:$E$158,"Not Found",0,1))="Not Found Not Found", "Not Found",_xlfn.CONCAT(_xlfn.XLOOKUP(A46,'Data Set 2 - Vehicles'!$A$2:$A$158,'Data Set 2 - Vehicles'!$D$2:$D$158,"Not Found",0,1)," ",_xlfn.XLOOKUP(A46,'Data Set 2 - Vehicles'!$A$2:$A$158,'Data Set 2 - Vehicles'!$E$2:$E$158,"Not Found",0,1)))</f>
        <v>Audi A8</v>
      </c>
      <c r="R46" s="5">
        <f>_xlfn.XLOOKUP(A46,'Data Set 2 - Vehicles'!$A$2:$A$158,'Data Set 2 - Vehicles'!$O$2:$O$158,"",0,1)</f>
        <v>39871</v>
      </c>
      <c r="S46" s="1" t="str">
        <f>IF(_xlfn.XLOOKUP(A46,'Data Set 2 - Vehicles'!$A$2:$A$158,'Data Set 2 - Vehicles'!$E$2:$E$158,"Has No Vehicle",0,-1)=P46,"Has Only One Vehicle",_xlfn.XLOOKUP(A46,'Data Set 2 - Vehicles'!$A$2:$A$158,'Data Set 2 - Vehicles'!$E$2:$E$158,"Has No Vehcile",0,-1))</f>
        <v>Focus</v>
      </c>
      <c r="T46" s="1" t="str">
        <f>_xlfn.LET(_xlpm.mfcname,_xlfn.XLOOKUP(A46,'Data Set 2 - Vehicles'!$A$2:$A$158,'Data Set 2 - Vehicles'!$D$2:$D$158,"NF",0,-1),_xlpm.mdlname,_xlfn.XLOOKUP(A46,'Data Set 2 - Vehicles'!$A$2:$A$158,'Data Set 2 - Vehicles'!$E$2:$E$158,"NF",0,-1),_xlpm.vehcilename,_xlfn.CONCAT(_xlpm.mfcname," ",_xlpm.mdlname),IF(S46="Has No Vehicle","Has No Vehicle",IF(S46="Has Only One Vehicle","Has Only One Vehicle",IF(_xlpm.vehcilename="NF NF","Not Found",_xlpm.vehcilename))))</f>
        <v>Ford Focus</v>
      </c>
      <c r="U46" s="24">
        <f>_xlfn.LET(_xlpm.vserdate,_xlfn.XLOOKUP(A46,'Data Set 2 - Vehicles'!$A$2:$A$158,'Data Set 2 - Vehicles'!$O$2:$O$158,"NF",0,-1), IF(OR('Data Set 1'!S46="Has No Vehicle",'Data Set 1'!S46="Has Only One Vehicle"),'Data Set 1'!S46,_xlpm.vserdate))</f>
        <v>44399</v>
      </c>
      <c r="V46" s="1">
        <f>SUMIF('Data Set 2 - Vehicles'!$A$2:$A$158,'Data Set 1'!A46,'Data Set 2 - Vehicles'!$Q$2:$Q$158)</f>
        <v>497396</v>
      </c>
      <c r="W46" s="5">
        <f>_xlfn.LET(_xlpm.maxdate,_xlfn.MAXIFS('Data Set 2 - Vehicles'!$O$2:$O$158,'Data Set 2 - Vehicles'!$A$2:$A$158,'Data Set 1'!A46),IF(_xlpm.maxdate=0,"",_xlpm.maxdate))</f>
        <v>44399</v>
      </c>
      <c r="X46" s="1" t="str">
        <f t="shared" ca="1" si="3"/>
        <v>InActive</v>
      </c>
      <c r="Y4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47" spans="1:25" ht="12.75" x14ac:dyDescent="0.35">
      <c r="A47" s="15">
        <v>1345</v>
      </c>
      <c r="B47" s="1" t="s">
        <v>644</v>
      </c>
      <c r="C47" s="1" t="s">
        <v>645</v>
      </c>
      <c r="D47" s="7" t="s">
        <v>647</v>
      </c>
      <c r="E47" s="1" t="s">
        <v>648</v>
      </c>
      <c r="F47" s="1" t="s">
        <v>649</v>
      </c>
      <c r="G47" s="11" t="s">
        <v>495</v>
      </c>
      <c r="H47" s="11">
        <v>21076</v>
      </c>
      <c r="I47" s="1" t="str">
        <f t="shared" si="0"/>
        <v>Lashaunda Lizama</v>
      </c>
      <c r="J47" s="1" t="str">
        <f t="shared" si="1"/>
        <v>Lashaunda Lizama</v>
      </c>
      <c r="K47" s="1" t="str">
        <f t="shared" si="2"/>
        <v>3387</v>
      </c>
      <c r="L47" s="1" t="str">
        <f>VLOOKUP(A47,'Data Set 3 - Contacts'!$A$2:$F$136,5,FALSE)</f>
        <v>4106782473</v>
      </c>
      <c r="M47" s="1" t="str">
        <f>VLOOKUP(A47,'Data Set 3 - Contacts'!$A$2:$F$136,6,FALSE)</f>
        <v>4109126032</v>
      </c>
      <c r="N47" s="1" t="str">
        <f>VLOOKUP(A47,'Data Set 3 - Contacts'!$A$2:$F$136,4,FALSE)</f>
        <v>llizama@cox.net</v>
      </c>
      <c r="O47" s="1">
        <f>_xlfn.XLOOKUP(A47,'Data Set 2 - Vehicles'!$A$2:$A$158,'Data Set 2 - Vehicles'!$B$2:$B$158,0,0,-1)</f>
        <v>1</v>
      </c>
      <c r="P47" s="1" t="str">
        <f>_xlfn.XLOOKUP(A47,'Data Set 2 - Vehicles'!$A$2:$A$158,'Data Set 2 - Vehicles'!$E$2:$E$158,"Not Found",0,1)</f>
        <v>Cavalier</v>
      </c>
      <c r="Q47" s="1" t="str">
        <f>IF(_xlfn.CONCAT(_xlfn.XLOOKUP(A47,'Data Set 2 - Vehicles'!$A$2:$A$158,'Data Set 2 - Vehicles'!$D$2:$D$158,"Not Found",0,1)," ",_xlfn.XLOOKUP(A47,'Data Set 2 - Vehicles'!$A$2:$A$158,'Data Set 2 - Vehicles'!$E$2:$E$158,"Not Found",0,1))="Not Found Not Found", "Not Found",_xlfn.CONCAT(_xlfn.XLOOKUP(A47,'Data Set 2 - Vehicles'!$A$2:$A$158,'Data Set 2 - Vehicles'!$D$2:$D$158,"Not Found",0,1)," ",_xlfn.XLOOKUP(A47,'Data Set 2 - Vehicles'!$A$2:$A$158,'Data Set 2 - Vehicles'!$E$2:$E$158,"Not Found",0,1)))</f>
        <v>Chevrolet Cavalier</v>
      </c>
      <c r="R47" s="5">
        <f>_xlfn.XLOOKUP(A47,'Data Set 2 - Vehicles'!$A$2:$A$158,'Data Set 2 - Vehicles'!$O$2:$O$158,"",0,1)</f>
        <v>44790</v>
      </c>
      <c r="S47" s="1" t="str">
        <f>IF(_xlfn.XLOOKUP(A47,'Data Set 2 - Vehicles'!$A$2:$A$158,'Data Set 2 - Vehicles'!$E$2:$E$158,"Has No Vehicle",0,-1)=P47,"Has Only One Vehicle",_xlfn.XLOOKUP(A47,'Data Set 2 - Vehicles'!$A$2:$A$158,'Data Set 2 - Vehicles'!$E$2:$E$158,"Has No Vehcile",0,-1))</f>
        <v>Has Only One Vehicle</v>
      </c>
      <c r="T47" s="1" t="str">
        <f>_xlfn.LET(_xlpm.mfcname,_xlfn.XLOOKUP(A47,'Data Set 2 - Vehicles'!$A$2:$A$158,'Data Set 2 - Vehicles'!$D$2:$D$158,"NF",0,-1),_xlpm.mdlname,_xlfn.XLOOKUP(A47,'Data Set 2 - Vehicles'!$A$2:$A$158,'Data Set 2 - Vehicles'!$E$2:$E$158,"NF",0,-1),_xlpm.vehcilename,_xlfn.CONCAT(_xlpm.mfcname," ",_xlpm.mdlname),IF(S47="Has No Vehicle","Has No Vehicle",IF(S47="Has Only One Vehicle","Has Only One Vehicle",IF(_xlpm.vehcilename="NF NF","Not Found",_xlpm.vehcilename))))</f>
        <v>Has Only One Vehicle</v>
      </c>
      <c r="U47" s="24" t="str">
        <f>_xlfn.LET(_xlpm.vserdate,_xlfn.XLOOKUP(A47,'Data Set 2 - Vehicles'!$A$2:$A$158,'Data Set 2 - Vehicles'!$O$2:$O$158,"NF",0,-1), IF(OR('Data Set 1'!S47="Has No Vehicle",'Data Set 1'!S47="Has Only One Vehicle"),'Data Set 1'!S47,_xlpm.vserdate))</f>
        <v>Has Only One Vehicle</v>
      </c>
      <c r="V47" s="1">
        <f>SUMIF('Data Set 2 - Vehicles'!$A$2:$A$158,'Data Set 1'!A47,'Data Set 2 - Vehicles'!$Q$2:$Q$158)</f>
        <v>234511</v>
      </c>
      <c r="W47" s="5">
        <f>_xlfn.LET(_xlpm.maxdate,_xlfn.MAXIFS('Data Set 2 - Vehicles'!$O$2:$O$158,'Data Set 2 - Vehicles'!$A$2:$A$158,'Data Set 1'!A47),IF(_xlpm.maxdate=0,"",_xlpm.maxdate))</f>
        <v>44790</v>
      </c>
      <c r="X47" s="1" t="str">
        <f t="shared" ca="1" si="3"/>
        <v>InActive</v>
      </c>
      <c r="Y4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48" spans="1:25" ht="12.75" x14ac:dyDescent="0.35">
      <c r="A48" s="15">
        <v>1040</v>
      </c>
      <c r="B48" s="1" t="s">
        <v>650</v>
      </c>
      <c r="C48" s="1" t="s">
        <v>651</v>
      </c>
      <c r="D48" s="7" t="s">
        <v>652</v>
      </c>
      <c r="E48" s="1" t="s">
        <v>653</v>
      </c>
      <c r="F48" s="1" t="s">
        <v>654</v>
      </c>
      <c r="G48" s="11" t="s">
        <v>655</v>
      </c>
      <c r="H48" s="11">
        <v>67410</v>
      </c>
      <c r="I48" s="1" t="str">
        <f t="shared" si="0"/>
        <v>Kati Rulapaugh</v>
      </c>
      <c r="J48" s="1" t="str">
        <f t="shared" si="1"/>
        <v>Kati Rulapaugh</v>
      </c>
      <c r="K48" s="1" t="str">
        <f t="shared" si="2"/>
        <v>6980</v>
      </c>
      <c r="L48" s="1" t="str">
        <f>VLOOKUP(A48,'Data Set 3 - Contacts'!$A$2:$F$136,5,FALSE)</f>
        <v>7854637829</v>
      </c>
      <c r="M48" s="1" t="str">
        <f>VLOOKUP(A48,'Data Set 3 - Contacts'!$A$2:$F$136,6,FALSE)</f>
        <v>7852197724</v>
      </c>
      <c r="N48" s="1" t="str">
        <f>VLOOKUP(A48,'Data Set 3 - Contacts'!$A$2:$F$136,4,FALSE)</f>
        <v>kati.rulapaugh@hotmail.com</v>
      </c>
      <c r="O48" s="1">
        <f>_xlfn.XLOOKUP(A48,'Data Set 2 - Vehicles'!$A$2:$A$158,'Data Set 2 - Vehicles'!$B$2:$B$158,0,0,-1)</f>
        <v>2</v>
      </c>
      <c r="P48" s="1" t="str">
        <f>_xlfn.XLOOKUP(A48,'Data Set 2 - Vehicles'!$A$2:$A$158,'Data Set 2 - Vehicles'!$E$2:$E$158,"Not Found",0,1)</f>
        <v>Montana</v>
      </c>
      <c r="Q48" s="1" t="str">
        <f>IF(_xlfn.CONCAT(_xlfn.XLOOKUP(A48,'Data Set 2 - Vehicles'!$A$2:$A$158,'Data Set 2 - Vehicles'!$D$2:$D$158,"Not Found",0,1)," ",_xlfn.XLOOKUP(A48,'Data Set 2 - Vehicles'!$A$2:$A$158,'Data Set 2 - Vehicles'!$E$2:$E$158,"Not Found",0,1))="Not Found Not Found", "Not Found",_xlfn.CONCAT(_xlfn.XLOOKUP(A48,'Data Set 2 - Vehicles'!$A$2:$A$158,'Data Set 2 - Vehicles'!$D$2:$D$158,"Not Found",0,1)," ",_xlfn.XLOOKUP(A48,'Data Set 2 - Vehicles'!$A$2:$A$158,'Data Set 2 - Vehicles'!$E$2:$E$158,"Not Found",0,1)))</f>
        <v>Pontiac Montana</v>
      </c>
      <c r="R48" s="5">
        <f>_xlfn.XLOOKUP(A48,'Data Set 2 - Vehicles'!$A$2:$A$158,'Data Set 2 - Vehicles'!$O$2:$O$158,"",0,1)</f>
        <v>38555</v>
      </c>
      <c r="S48" s="1" t="str">
        <f>IF(_xlfn.XLOOKUP(A48,'Data Set 2 - Vehicles'!$A$2:$A$158,'Data Set 2 - Vehicles'!$E$2:$E$158,"Has No Vehicle",0,-1)=P48,"Has Only One Vehicle",_xlfn.XLOOKUP(A48,'Data Set 2 - Vehicles'!$A$2:$A$158,'Data Set 2 - Vehicles'!$E$2:$E$158,"Has No Vehcile",0,-1))</f>
        <v>Passat</v>
      </c>
      <c r="T48" s="1" t="str">
        <f>_xlfn.LET(_xlpm.mfcname,_xlfn.XLOOKUP(A48,'Data Set 2 - Vehicles'!$A$2:$A$158,'Data Set 2 - Vehicles'!$D$2:$D$158,"NF",0,-1),_xlpm.mdlname,_xlfn.XLOOKUP(A48,'Data Set 2 - Vehicles'!$A$2:$A$158,'Data Set 2 - Vehicles'!$E$2:$E$158,"NF",0,-1),_xlpm.vehcilename,_xlfn.CONCAT(_xlpm.mfcname," ",_xlpm.mdlname),IF(S48="Has No Vehicle","Has No Vehicle",IF(S48="Has Only One Vehicle","Has Only One Vehicle",IF(_xlpm.vehcilename="NF NF","Not Found",_xlpm.vehcilename))))</f>
        <v>Volkswagen Passat</v>
      </c>
      <c r="U48" s="24">
        <f>_xlfn.LET(_xlpm.vserdate,_xlfn.XLOOKUP(A48,'Data Set 2 - Vehicles'!$A$2:$A$158,'Data Set 2 - Vehicles'!$O$2:$O$158,"NF",0,-1), IF(OR('Data Set 1'!S48="Has No Vehicle",'Data Set 1'!S48="Has Only One Vehicle"),'Data Set 1'!S48,_xlpm.vserdate))</f>
        <v>40481</v>
      </c>
      <c r="V48" s="1">
        <f>SUMIF('Data Set 2 - Vehicles'!$A$2:$A$158,'Data Set 1'!A48,'Data Set 2 - Vehicles'!$Q$2:$Q$158)</f>
        <v>557728</v>
      </c>
      <c r="W48" s="5">
        <f>_xlfn.LET(_xlpm.maxdate,_xlfn.MAXIFS('Data Set 2 - Vehicles'!$O$2:$O$158,'Data Set 2 - Vehicles'!$A$2:$A$158,'Data Set 1'!A48),IF(_xlpm.maxdate=0,"",_xlpm.maxdate))</f>
        <v>40481</v>
      </c>
      <c r="X48" s="1" t="str">
        <f t="shared" ca="1" si="3"/>
        <v>InActive</v>
      </c>
      <c r="Y4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49" spans="1:25" ht="12.75" x14ac:dyDescent="0.35">
      <c r="A49" s="15">
        <v>1247</v>
      </c>
      <c r="B49" s="1"/>
      <c r="C49" s="1"/>
      <c r="D49" s="7" t="s">
        <v>657</v>
      </c>
      <c r="E49" s="1" t="s">
        <v>658</v>
      </c>
      <c r="F49" s="1" t="s">
        <v>659</v>
      </c>
      <c r="G49" s="11" t="s">
        <v>660</v>
      </c>
      <c r="H49" s="11">
        <v>77840</v>
      </c>
      <c r="I49" s="1" t="str">
        <f t="shared" si="0"/>
        <v xml:space="preserve"> </v>
      </c>
      <c r="J49" s="1" t="str">
        <f t="shared" si="1"/>
        <v>Edison Supply &amp; Equipment Co</v>
      </c>
      <c r="K49" s="1" t="str">
        <f t="shared" si="2"/>
        <v>9</v>
      </c>
      <c r="L49" s="1" t="str">
        <f>VLOOKUP(A49,'Data Set 3 - Contacts'!$A$2:$F$136,5,FALSE)</f>
        <v>9797188968</v>
      </c>
      <c r="M49" s="1" t="str">
        <f>VLOOKUP(A49,'Data Set 3 - Contacts'!$A$2:$F$136,6,FALSE)</f>
        <v/>
      </c>
      <c r="N49" s="1" t="str">
        <f>VLOOKUP(A49,'Data Set 3 - Contacts'!$A$2:$F$136,4,FALSE)</f>
        <v>mraymo@yahoo.com</v>
      </c>
      <c r="O49" s="1">
        <f>_xlfn.XLOOKUP(A49,'Data Set 2 - Vehicles'!$A$2:$A$158,'Data Set 2 - Vehicles'!$B$2:$B$158,0,0,-1)</f>
        <v>0</v>
      </c>
      <c r="P49" s="1" t="str">
        <f>_xlfn.XLOOKUP(A49,'Data Set 2 - Vehicles'!$A$2:$A$158,'Data Set 2 - Vehicles'!$E$2:$E$158,"Not Found",0,1)</f>
        <v>Not Found</v>
      </c>
      <c r="Q49" s="1" t="str">
        <f>IF(_xlfn.CONCAT(_xlfn.XLOOKUP(A49,'Data Set 2 - Vehicles'!$A$2:$A$158,'Data Set 2 - Vehicles'!$D$2:$D$158,"Not Found",0,1)," ",_xlfn.XLOOKUP(A49,'Data Set 2 - Vehicles'!$A$2:$A$158,'Data Set 2 - Vehicles'!$E$2:$E$158,"Not Found",0,1))="Not Found Not Found", "Not Found",_xlfn.CONCAT(_xlfn.XLOOKUP(A49,'Data Set 2 - Vehicles'!$A$2:$A$158,'Data Set 2 - Vehicles'!$D$2:$D$158,"Not Found",0,1)," ",_xlfn.XLOOKUP(A49,'Data Set 2 - Vehicles'!$A$2:$A$158,'Data Set 2 - Vehicles'!$E$2:$E$158,"Not Found",0,1)))</f>
        <v>Not Found</v>
      </c>
      <c r="R49" s="5" t="str">
        <f>_xlfn.XLOOKUP(A49,'Data Set 2 - Vehicles'!$A$2:$A$158,'Data Set 2 - Vehicles'!$O$2:$O$158,"",0,1)</f>
        <v/>
      </c>
      <c r="S49" s="1" t="str">
        <f>IF(_xlfn.XLOOKUP(A49,'Data Set 2 - Vehicles'!$A$2:$A$158,'Data Set 2 - Vehicles'!$E$2:$E$158,"Has No Vehicle",0,-1)=P49,"Has Only One Vehicle",_xlfn.XLOOKUP(A49,'Data Set 2 - Vehicles'!$A$2:$A$158,'Data Set 2 - Vehicles'!$E$2:$E$158,"Has No Vehcile",0,-1))</f>
        <v>Has No Vehcile</v>
      </c>
      <c r="T49" s="1" t="str">
        <f>_xlfn.LET(_xlpm.mfcname,_xlfn.XLOOKUP(A49,'Data Set 2 - Vehicles'!$A$2:$A$158,'Data Set 2 - Vehicles'!$D$2:$D$158,"NF",0,-1),_xlpm.mdlname,_xlfn.XLOOKUP(A49,'Data Set 2 - Vehicles'!$A$2:$A$158,'Data Set 2 - Vehicles'!$E$2:$E$158,"NF",0,-1),_xlpm.vehcilename,_xlfn.CONCAT(_xlpm.mfcname," ",_xlpm.mdlname),IF(S49="Has No Vehicle","Has No Vehicle",IF(S49="Has Only One Vehicle","Has Only One Vehicle",IF(_xlpm.vehcilename="NF NF","Not Found",_xlpm.vehcilename))))</f>
        <v>Not Found</v>
      </c>
      <c r="U49" s="24" t="str">
        <f>_xlfn.LET(_xlpm.vserdate,_xlfn.XLOOKUP(A49,'Data Set 2 - Vehicles'!$A$2:$A$158,'Data Set 2 - Vehicles'!$O$2:$O$158,"NF",0,-1), IF(OR('Data Set 1'!S49="Has No Vehicle",'Data Set 1'!S49="Has Only One Vehicle"),'Data Set 1'!S49,_xlpm.vserdate))</f>
        <v>NF</v>
      </c>
      <c r="V49" s="1">
        <f>SUMIF('Data Set 2 - Vehicles'!$A$2:$A$158,'Data Set 1'!A49,'Data Set 2 - Vehicles'!$Q$2:$Q$158)</f>
        <v>0</v>
      </c>
      <c r="W49" s="5" t="str">
        <f>_xlfn.LET(_xlpm.maxdate,_xlfn.MAXIFS('Data Set 2 - Vehicles'!$O$2:$O$158,'Data Set 2 - Vehicles'!$A$2:$A$158,'Data Set 1'!A49),IF(_xlpm.maxdate=0,"",_xlpm.maxdate))</f>
        <v/>
      </c>
      <c r="X49" s="1" t="str">
        <f t="shared" ca="1" si="3"/>
        <v>No Service Record</v>
      </c>
      <c r="Y4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50" spans="1:25" ht="12.75" x14ac:dyDescent="0.35">
      <c r="A50" s="15">
        <v>1158</v>
      </c>
      <c r="B50" s="1"/>
      <c r="C50" s="1"/>
      <c r="D50" s="7" t="s">
        <v>662</v>
      </c>
      <c r="E50" s="1" t="s">
        <v>663</v>
      </c>
      <c r="F50" s="1" t="s">
        <v>664</v>
      </c>
      <c r="G50" s="11" t="s">
        <v>419</v>
      </c>
      <c r="H50" s="11">
        <v>8002</v>
      </c>
      <c r="I50" s="1" t="str">
        <f t="shared" si="0"/>
        <v xml:space="preserve"> </v>
      </c>
      <c r="J50" s="1" t="str">
        <f t="shared" si="1"/>
        <v>Edward S Katz</v>
      </c>
      <c r="K50" s="1" t="str">
        <f t="shared" si="2"/>
        <v>501</v>
      </c>
      <c r="L50" s="1" t="str">
        <f>VLOOKUP(A50,'Data Set 3 - Contacts'!$A$2:$F$136,5,FALSE)</f>
        <v>8564875412</v>
      </c>
      <c r="M50" s="1" t="str">
        <f>VLOOKUP(A50,'Data Set 3 - Contacts'!$A$2:$F$136,6,FALSE)</f>
        <v>8567023676</v>
      </c>
      <c r="N50" s="1" t="str">
        <f>VLOOKUP(A50,'Data Set 3 - Contacts'!$A$2:$F$136,4,FALSE)</f>
        <v>lizette.stem@aol.com</v>
      </c>
      <c r="O50" s="1">
        <f>_xlfn.XLOOKUP(A50,'Data Set 2 - Vehicles'!$A$2:$A$158,'Data Set 2 - Vehicles'!$B$2:$B$158,0,0,-1)</f>
        <v>1</v>
      </c>
      <c r="P50" s="1" t="str">
        <f>_xlfn.XLOOKUP(A50,'Data Set 2 - Vehicles'!$A$2:$A$158,'Data Set 2 - Vehicles'!$E$2:$E$158,"Not Found",0,1)</f>
        <v>Accent</v>
      </c>
      <c r="Q50" s="1" t="str">
        <f>IF(_xlfn.CONCAT(_xlfn.XLOOKUP(A50,'Data Set 2 - Vehicles'!$A$2:$A$158,'Data Set 2 - Vehicles'!$D$2:$D$158,"Not Found",0,1)," ",_xlfn.XLOOKUP(A50,'Data Set 2 - Vehicles'!$A$2:$A$158,'Data Set 2 - Vehicles'!$E$2:$E$158,"Not Found",0,1))="Not Found Not Found", "Not Found",_xlfn.CONCAT(_xlfn.XLOOKUP(A50,'Data Set 2 - Vehicles'!$A$2:$A$158,'Data Set 2 - Vehicles'!$D$2:$D$158,"Not Found",0,1)," ",_xlfn.XLOOKUP(A50,'Data Set 2 - Vehicles'!$A$2:$A$158,'Data Set 2 - Vehicles'!$E$2:$E$158,"Not Found",0,1)))</f>
        <v>Hyundai Accent</v>
      </c>
      <c r="R50" s="5">
        <f>_xlfn.XLOOKUP(A50,'Data Set 2 - Vehicles'!$A$2:$A$158,'Data Set 2 - Vehicles'!$O$2:$O$158,"",0,1)</f>
        <v>41527</v>
      </c>
      <c r="S50" s="1" t="str">
        <f>IF(_xlfn.XLOOKUP(A50,'Data Set 2 - Vehicles'!$A$2:$A$158,'Data Set 2 - Vehicles'!$E$2:$E$158,"Has No Vehicle",0,-1)=P50,"Has Only One Vehicle",_xlfn.XLOOKUP(A50,'Data Set 2 - Vehicles'!$A$2:$A$158,'Data Set 2 - Vehicles'!$E$2:$E$158,"Has No Vehcile",0,-1))</f>
        <v>Has Only One Vehicle</v>
      </c>
      <c r="T50" s="1" t="str">
        <f>_xlfn.LET(_xlpm.mfcname,_xlfn.XLOOKUP(A50,'Data Set 2 - Vehicles'!$A$2:$A$158,'Data Set 2 - Vehicles'!$D$2:$D$158,"NF",0,-1),_xlpm.mdlname,_xlfn.XLOOKUP(A50,'Data Set 2 - Vehicles'!$A$2:$A$158,'Data Set 2 - Vehicles'!$E$2:$E$158,"NF",0,-1),_xlpm.vehcilename,_xlfn.CONCAT(_xlpm.mfcname," ",_xlpm.mdlname),IF(S50="Has No Vehicle","Has No Vehicle",IF(S50="Has Only One Vehicle","Has Only One Vehicle",IF(_xlpm.vehcilename="NF NF","Not Found",_xlpm.vehcilename))))</f>
        <v>Has Only One Vehicle</v>
      </c>
      <c r="U50" s="24" t="str">
        <f>_xlfn.LET(_xlpm.vserdate,_xlfn.XLOOKUP(A50,'Data Set 2 - Vehicles'!$A$2:$A$158,'Data Set 2 - Vehicles'!$O$2:$O$158,"NF",0,-1), IF(OR('Data Set 1'!S50="Has No Vehicle",'Data Set 1'!S50="Has Only One Vehicle"),'Data Set 1'!S50,_xlpm.vserdate))</f>
        <v>Has Only One Vehicle</v>
      </c>
      <c r="V50" s="1">
        <f>SUMIF('Data Set 2 - Vehicles'!$A$2:$A$158,'Data Set 1'!A50,'Data Set 2 - Vehicles'!$Q$2:$Q$158)</f>
        <v>57719</v>
      </c>
      <c r="W50" s="5">
        <f>_xlfn.LET(_xlpm.maxdate,_xlfn.MAXIFS('Data Set 2 - Vehicles'!$O$2:$O$158,'Data Set 2 - Vehicles'!$A$2:$A$158,'Data Set 1'!A50),IF(_xlpm.maxdate=0,"",_xlpm.maxdate))</f>
        <v>41527</v>
      </c>
      <c r="X50" s="1" t="str">
        <f t="shared" ca="1" si="3"/>
        <v>InActive</v>
      </c>
      <c r="Y5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51" spans="1:25" ht="12.75" x14ac:dyDescent="0.35">
      <c r="A51" s="17">
        <v>1438</v>
      </c>
      <c r="B51" s="1" t="s">
        <v>665</v>
      </c>
      <c r="C51" s="1" t="s">
        <v>666</v>
      </c>
      <c r="D51" s="7"/>
      <c r="E51" s="1" t="s">
        <v>667</v>
      </c>
      <c r="F51" s="1" t="s">
        <v>668</v>
      </c>
      <c r="G51" s="11" t="s">
        <v>478</v>
      </c>
      <c r="H51" s="11">
        <v>37211</v>
      </c>
      <c r="I51" s="1" t="str">
        <f t="shared" si="0"/>
        <v>Caprice Suell</v>
      </c>
      <c r="J51" s="1" t="str">
        <f t="shared" si="1"/>
        <v>Caprice Suell</v>
      </c>
      <c r="K51" s="1" t="str">
        <f t="shared" si="2"/>
        <v>90177</v>
      </c>
      <c r="L51" s="1" t="str">
        <f>VLOOKUP(A51,'Data Set 3 - Contacts'!$A$2:$F$136,5,FALSE)</f>
        <v>6152461824</v>
      </c>
      <c r="M51" s="1" t="str">
        <f>VLOOKUP(A51,'Data Set 3 - Contacts'!$A$2:$F$136,6,FALSE)</f>
        <v/>
      </c>
      <c r="N51" s="1" t="str">
        <f>VLOOKUP(A51,'Data Set 3 - Contacts'!$A$2:$F$136,4,FALSE)</f>
        <v>caprice@aol.com</v>
      </c>
      <c r="O51" s="1">
        <f>_xlfn.XLOOKUP(A51,'Data Set 2 - Vehicles'!$A$2:$A$158,'Data Set 2 - Vehicles'!$B$2:$B$158,0,0,-1)</f>
        <v>2</v>
      </c>
      <c r="P51" s="1" t="str">
        <f>_xlfn.XLOOKUP(A51,'Data Set 2 - Vehicles'!$A$2:$A$158,'Data Set 2 - Vehicles'!$E$2:$E$158,"Not Found",0,1)</f>
        <v>Avalon</v>
      </c>
      <c r="Q51" s="1" t="str">
        <f>IF(_xlfn.CONCAT(_xlfn.XLOOKUP(A51,'Data Set 2 - Vehicles'!$A$2:$A$158,'Data Set 2 - Vehicles'!$D$2:$D$158,"Not Found",0,1)," ",_xlfn.XLOOKUP(A51,'Data Set 2 - Vehicles'!$A$2:$A$158,'Data Set 2 - Vehicles'!$E$2:$E$158,"Not Found",0,1))="Not Found Not Found", "Not Found",_xlfn.CONCAT(_xlfn.XLOOKUP(A51,'Data Set 2 - Vehicles'!$A$2:$A$158,'Data Set 2 - Vehicles'!$D$2:$D$158,"Not Found",0,1)," ",_xlfn.XLOOKUP(A51,'Data Set 2 - Vehicles'!$A$2:$A$158,'Data Set 2 - Vehicles'!$E$2:$E$158,"Not Found",0,1)))</f>
        <v>Toyota Avalon</v>
      </c>
      <c r="R51" s="5">
        <f>_xlfn.XLOOKUP(A51,'Data Set 2 - Vehicles'!$A$2:$A$158,'Data Set 2 - Vehicles'!$O$2:$O$158,"",0,1)</f>
        <v>39691</v>
      </c>
      <c r="S51" s="1" t="str">
        <f>IF(_xlfn.XLOOKUP(A51,'Data Set 2 - Vehicles'!$A$2:$A$158,'Data Set 2 - Vehicles'!$E$2:$E$158,"Has No Vehicle",0,-1)=P51,"Has Only One Vehicle",_xlfn.XLOOKUP(A51,'Data Set 2 - Vehicles'!$A$2:$A$158,'Data Set 2 - Vehicles'!$E$2:$E$158,"Has No Vehcile",0,-1))</f>
        <v>Neon</v>
      </c>
      <c r="T51" s="1" t="str">
        <f>_xlfn.LET(_xlpm.mfcname,_xlfn.XLOOKUP(A51,'Data Set 2 - Vehicles'!$A$2:$A$158,'Data Set 2 - Vehicles'!$D$2:$D$158,"NF",0,-1),_xlpm.mdlname,_xlfn.XLOOKUP(A51,'Data Set 2 - Vehicles'!$A$2:$A$158,'Data Set 2 - Vehicles'!$E$2:$E$158,"NF",0,-1),_xlpm.vehcilename,_xlfn.CONCAT(_xlpm.mfcname," ",_xlpm.mdlname),IF(S51="Has No Vehicle","Has No Vehicle",IF(S51="Has Only One Vehicle","Has Only One Vehicle",IF(_xlpm.vehcilename="NF NF","Not Found",_xlpm.vehcilename))))</f>
        <v>Plymouth Neon</v>
      </c>
      <c r="U51" s="24">
        <f>_xlfn.LET(_xlpm.vserdate,_xlfn.XLOOKUP(A51,'Data Set 2 - Vehicles'!$A$2:$A$158,'Data Set 2 - Vehicles'!$O$2:$O$158,"NF",0,-1), IF(OR('Data Set 1'!S51="Has No Vehicle",'Data Set 1'!S51="Has Only One Vehicle"),'Data Set 1'!S51,_xlpm.vserdate))</f>
        <v>42120</v>
      </c>
      <c r="V51" s="1">
        <f>SUMIF('Data Set 2 - Vehicles'!$A$2:$A$158,'Data Set 1'!A51,'Data Set 2 - Vehicles'!$Q$2:$Q$158)</f>
        <v>288655</v>
      </c>
      <c r="W51" s="5">
        <f>_xlfn.LET(_xlpm.maxdate,_xlfn.MAXIFS('Data Set 2 - Vehicles'!$O$2:$O$158,'Data Set 2 - Vehicles'!$A$2:$A$158,'Data Set 1'!A51),IF(_xlpm.maxdate=0,"",_xlpm.maxdate))</f>
        <v>42120</v>
      </c>
      <c r="X51" s="1" t="str">
        <f t="shared" ca="1" si="3"/>
        <v>InActive</v>
      </c>
      <c r="Y5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52" spans="1:25" ht="12.75" x14ac:dyDescent="0.35">
      <c r="A52" s="17">
        <v>1137</v>
      </c>
      <c r="B52" s="1" t="s">
        <v>671</v>
      </c>
      <c r="C52" s="1" t="s">
        <v>672</v>
      </c>
      <c r="D52" s="7"/>
      <c r="E52" s="1" t="s">
        <v>673</v>
      </c>
      <c r="F52" s="1" t="s">
        <v>674</v>
      </c>
      <c r="G52" s="11" t="s">
        <v>392</v>
      </c>
      <c r="H52" s="11">
        <v>60638</v>
      </c>
      <c r="I52" s="1" t="str">
        <f t="shared" si="0"/>
        <v>Marti Maybury</v>
      </c>
      <c r="J52" s="1" t="str">
        <f t="shared" si="1"/>
        <v>Marti Maybury</v>
      </c>
      <c r="K52" s="1" t="str">
        <f t="shared" si="2"/>
        <v>4</v>
      </c>
      <c r="L52" s="1" t="str">
        <f>VLOOKUP(A52,'Data Set 3 - Contacts'!$A$2:$F$136,5,FALSE)</f>
        <v>7737754522</v>
      </c>
      <c r="M52" s="1" t="str">
        <f>VLOOKUP(A52,'Data Set 3 - Contacts'!$A$2:$F$136,6,FALSE)</f>
        <v>7735391058</v>
      </c>
      <c r="N52" s="1" t="str">
        <f>VLOOKUP(A52,'Data Set 3 - Contacts'!$A$2:$F$136,4,FALSE)</f>
        <v>marti.maybury@yahoo.com</v>
      </c>
      <c r="O52" s="1">
        <f>_xlfn.XLOOKUP(A52,'Data Set 2 - Vehicles'!$A$2:$A$158,'Data Set 2 - Vehicles'!$B$2:$B$158,0,0,-1)</f>
        <v>1</v>
      </c>
      <c r="P52" s="1" t="str">
        <f>_xlfn.XLOOKUP(A52,'Data Set 2 - Vehicles'!$A$2:$A$158,'Data Set 2 - Vehicles'!$E$2:$E$158,"Not Found",0,1)</f>
        <v>Montero Sport</v>
      </c>
      <c r="Q52" s="1" t="str">
        <f>IF(_xlfn.CONCAT(_xlfn.XLOOKUP(A52,'Data Set 2 - Vehicles'!$A$2:$A$158,'Data Set 2 - Vehicles'!$D$2:$D$158,"Not Found",0,1)," ",_xlfn.XLOOKUP(A52,'Data Set 2 - Vehicles'!$A$2:$A$158,'Data Set 2 - Vehicles'!$E$2:$E$158,"Not Found",0,1))="Not Found Not Found", "Not Found",_xlfn.CONCAT(_xlfn.XLOOKUP(A52,'Data Set 2 - Vehicles'!$A$2:$A$158,'Data Set 2 - Vehicles'!$D$2:$D$158,"Not Found",0,1)," ",_xlfn.XLOOKUP(A52,'Data Set 2 - Vehicles'!$A$2:$A$158,'Data Set 2 - Vehicles'!$E$2:$E$158,"Not Found",0,1)))</f>
        <v>Mitsubishi Montero Sport</v>
      </c>
      <c r="R52" s="5">
        <f>_xlfn.XLOOKUP(A52,'Data Set 2 - Vehicles'!$A$2:$A$158,'Data Set 2 - Vehicles'!$O$2:$O$158,"",0,1)</f>
        <v>41047</v>
      </c>
      <c r="S52" s="1" t="str">
        <f>IF(_xlfn.XLOOKUP(A52,'Data Set 2 - Vehicles'!$A$2:$A$158,'Data Set 2 - Vehicles'!$E$2:$E$158,"Has No Vehicle",0,-1)=P52,"Has Only One Vehicle",_xlfn.XLOOKUP(A52,'Data Set 2 - Vehicles'!$A$2:$A$158,'Data Set 2 - Vehicles'!$E$2:$E$158,"Has No Vehcile",0,-1))</f>
        <v>Has Only One Vehicle</v>
      </c>
      <c r="T52" s="1" t="str">
        <f>_xlfn.LET(_xlpm.mfcname,_xlfn.XLOOKUP(A52,'Data Set 2 - Vehicles'!$A$2:$A$158,'Data Set 2 - Vehicles'!$D$2:$D$158,"NF",0,-1),_xlpm.mdlname,_xlfn.XLOOKUP(A52,'Data Set 2 - Vehicles'!$A$2:$A$158,'Data Set 2 - Vehicles'!$E$2:$E$158,"NF",0,-1),_xlpm.vehcilename,_xlfn.CONCAT(_xlpm.mfcname," ",_xlpm.mdlname),IF(S52="Has No Vehicle","Has No Vehicle",IF(S52="Has Only One Vehicle","Has Only One Vehicle",IF(_xlpm.vehcilename="NF NF","Not Found",_xlpm.vehcilename))))</f>
        <v>Has Only One Vehicle</v>
      </c>
      <c r="U52" s="24" t="str">
        <f>_xlfn.LET(_xlpm.vserdate,_xlfn.XLOOKUP(A52,'Data Set 2 - Vehicles'!$A$2:$A$158,'Data Set 2 - Vehicles'!$O$2:$O$158,"NF",0,-1), IF(OR('Data Set 1'!S52="Has No Vehicle",'Data Set 1'!S52="Has Only One Vehicle"),'Data Set 1'!S52,_xlpm.vserdate))</f>
        <v>Has Only One Vehicle</v>
      </c>
      <c r="V52" s="1">
        <f>SUMIF('Data Set 2 - Vehicles'!$A$2:$A$158,'Data Set 1'!A52,'Data Set 2 - Vehicles'!$Q$2:$Q$158)</f>
        <v>184816</v>
      </c>
      <c r="W52" s="5">
        <f>_xlfn.LET(_xlpm.maxdate,_xlfn.MAXIFS('Data Set 2 - Vehicles'!$O$2:$O$158,'Data Set 2 - Vehicles'!$A$2:$A$158,'Data Set 1'!A52),IF(_xlpm.maxdate=0,"",_xlpm.maxdate))</f>
        <v>41047</v>
      </c>
      <c r="X52" s="1" t="str">
        <f t="shared" ca="1" si="3"/>
        <v>InActive</v>
      </c>
      <c r="Y5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53" spans="1:25" ht="12.75" x14ac:dyDescent="0.35">
      <c r="A53" s="15">
        <v>1039</v>
      </c>
      <c r="B53" s="1"/>
      <c r="C53" s="1"/>
      <c r="D53" s="7" t="s">
        <v>676</v>
      </c>
      <c r="E53" s="1" t="s">
        <v>677</v>
      </c>
      <c r="F53" s="1" t="s">
        <v>678</v>
      </c>
      <c r="G53" s="11" t="s">
        <v>660</v>
      </c>
      <c r="H53" s="11">
        <v>78204</v>
      </c>
      <c r="I53" s="1" t="str">
        <f t="shared" si="0"/>
        <v xml:space="preserve"> </v>
      </c>
      <c r="J53" s="1" t="str">
        <f t="shared" si="1"/>
        <v>Fbs Business Finance</v>
      </c>
      <c r="K53" s="1" t="str">
        <f t="shared" si="2"/>
        <v>775</v>
      </c>
      <c r="L53" s="1" t="str">
        <f>VLOOKUP(A53,'Data Set 3 - Contacts'!$A$2:$F$136,5,FALSE)</f>
        <v>2108129597</v>
      </c>
      <c r="M53" s="1" t="str">
        <f>VLOOKUP(A53,'Data Set 3 - Contacts'!$A$2:$F$136,6,FALSE)</f>
        <v>2103006244</v>
      </c>
      <c r="N53" s="1" t="str">
        <f>VLOOKUP(A53,'Data Set 3 - Contacts'!$A$2:$F$136,4,FALSE)</f>
        <v>valentine_gillian@gmail.com</v>
      </c>
      <c r="O53" s="1">
        <f>_xlfn.XLOOKUP(A53,'Data Set 2 - Vehicles'!$A$2:$A$158,'Data Set 2 - Vehicles'!$B$2:$B$158,0,0,-1)</f>
        <v>1</v>
      </c>
      <c r="P53" s="1" t="str">
        <f>_xlfn.XLOOKUP(A53,'Data Set 2 - Vehicles'!$A$2:$A$158,'Data Set 2 - Vehicles'!$E$2:$E$158,"Not Found",0,1)</f>
        <v>Dakota</v>
      </c>
      <c r="Q53" s="1" t="str">
        <f>IF(_xlfn.CONCAT(_xlfn.XLOOKUP(A53,'Data Set 2 - Vehicles'!$A$2:$A$158,'Data Set 2 - Vehicles'!$D$2:$D$158,"Not Found",0,1)," ",_xlfn.XLOOKUP(A53,'Data Set 2 - Vehicles'!$A$2:$A$158,'Data Set 2 - Vehicles'!$E$2:$E$158,"Not Found",0,1))="Not Found Not Found", "Not Found",_xlfn.CONCAT(_xlfn.XLOOKUP(A53,'Data Set 2 - Vehicles'!$A$2:$A$158,'Data Set 2 - Vehicles'!$D$2:$D$158,"Not Found",0,1)," ",_xlfn.XLOOKUP(A53,'Data Set 2 - Vehicles'!$A$2:$A$158,'Data Set 2 - Vehicles'!$E$2:$E$158,"Not Found",0,1)))</f>
        <v>Dodge Dakota</v>
      </c>
      <c r="R53" s="5">
        <f>_xlfn.XLOOKUP(A53,'Data Set 2 - Vehicles'!$A$2:$A$158,'Data Set 2 - Vehicles'!$O$2:$O$158,"",0,1)</f>
        <v>44525</v>
      </c>
      <c r="S53" s="1" t="str">
        <f>IF(_xlfn.XLOOKUP(A53,'Data Set 2 - Vehicles'!$A$2:$A$158,'Data Set 2 - Vehicles'!$E$2:$E$158,"Has No Vehicle",0,-1)=P53,"Has Only One Vehicle",_xlfn.XLOOKUP(A53,'Data Set 2 - Vehicles'!$A$2:$A$158,'Data Set 2 - Vehicles'!$E$2:$E$158,"Has No Vehcile",0,-1))</f>
        <v>Has Only One Vehicle</v>
      </c>
      <c r="T53" s="1" t="str">
        <f>_xlfn.LET(_xlpm.mfcname,_xlfn.XLOOKUP(A53,'Data Set 2 - Vehicles'!$A$2:$A$158,'Data Set 2 - Vehicles'!$D$2:$D$158,"NF",0,-1),_xlpm.mdlname,_xlfn.XLOOKUP(A53,'Data Set 2 - Vehicles'!$A$2:$A$158,'Data Set 2 - Vehicles'!$E$2:$E$158,"NF",0,-1),_xlpm.vehcilename,_xlfn.CONCAT(_xlpm.mfcname," ",_xlpm.mdlname),IF(S53="Has No Vehicle","Has No Vehicle",IF(S53="Has Only One Vehicle","Has Only One Vehicle",IF(_xlpm.vehcilename="NF NF","Not Found",_xlpm.vehcilename))))</f>
        <v>Has Only One Vehicle</v>
      </c>
      <c r="U53" s="24" t="str">
        <f>_xlfn.LET(_xlpm.vserdate,_xlfn.XLOOKUP(A53,'Data Set 2 - Vehicles'!$A$2:$A$158,'Data Set 2 - Vehicles'!$O$2:$O$158,"NF",0,-1), IF(OR('Data Set 1'!S53="Has No Vehicle",'Data Set 1'!S53="Has Only One Vehicle"),'Data Set 1'!S53,_xlpm.vserdate))</f>
        <v>Has Only One Vehicle</v>
      </c>
      <c r="V53" s="1">
        <f>SUMIF('Data Set 2 - Vehicles'!$A$2:$A$158,'Data Set 1'!A53,'Data Set 2 - Vehicles'!$Q$2:$Q$158)</f>
        <v>59025</v>
      </c>
      <c r="W53" s="5">
        <f>_xlfn.LET(_xlpm.maxdate,_xlfn.MAXIFS('Data Set 2 - Vehicles'!$O$2:$O$158,'Data Set 2 - Vehicles'!$A$2:$A$158,'Data Set 1'!A53),IF(_xlpm.maxdate=0,"",_xlpm.maxdate))</f>
        <v>44525</v>
      </c>
      <c r="X53" s="1" t="str">
        <f t="shared" ca="1" si="3"/>
        <v>InActive</v>
      </c>
      <c r="Y5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54" spans="1:25" ht="12.75" x14ac:dyDescent="0.35">
      <c r="A54" s="15">
        <v>1004</v>
      </c>
      <c r="B54" s="1" t="s">
        <v>679</v>
      </c>
      <c r="C54" s="1" t="s">
        <v>680</v>
      </c>
      <c r="D54" s="7" t="s">
        <v>681</v>
      </c>
      <c r="E54" s="1" t="s">
        <v>682</v>
      </c>
      <c r="F54" s="1" t="s">
        <v>683</v>
      </c>
      <c r="G54" s="11" t="s">
        <v>684</v>
      </c>
      <c r="H54" s="11">
        <v>99501</v>
      </c>
      <c r="I54" s="1" t="str">
        <f t="shared" si="0"/>
        <v>Lenna Paprocki</v>
      </c>
      <c r="J54" s="1" t="str">
        <f t="shared" si="1"/>
        <v>Lenna Paprocki</v>
      </c>
      <c r="K54" s="1" t="str">
        <f t="shared" si="2"/>
        <v>639</v>
      </c>
      <c r="L54" s="1" t="str">
        <f>VLOOKUP(A54,'Data Set 3 - Contacts'!$A$2:$F$136,5,FALSE)</f>
        <v>9073854412</v>
      </c>
      <c r="M54" s="1" t="str">
        <f>VLOOKUP(A54,'Data Set 3 - Contacts'!$A$2:$F$136,6,FALSE)</f>
        <v/>
      </c>
      <c r="N54" s="1" t="str">
        <f>VLOOKUP(A54,'Data Set 3 - Contacts'!$A$2:$F$136,4,FALSE)</f>
        <v>lpaprocki@hotmail.com</v>
      </c>
      <c r="O54" s="1">
        <f>_xlfn.XLOOKUP(A54,'Data Set 2 - Vehicles'!$A$2:$A$158,'Data Set 2 - Vehicles'!$B$2:$B$158,0,0,-1)</f>
        <v>1</v>
      </c>
      <c r="P54" s="1" t="str">
        <f>_xlfn.XLOOKUP(A54,'Data Set 2 - Vehicles'!$A$2:$A$158,'Data Set 2 - Vehicles'!$E$2:$E$158,"Not Found",0,1)</f>
        <v>Seville</v>
      </c>
      <c r="Q54" s="1" t="str">
        <f>IF(_xlfn.CONCAT(_xlfn.XLOOKUP(A54,'Data Set 2 - Vehicles'!$A$2:$A$158,'Data Set 2 - Vehicles'!$D$2:$D$158,"Not Found",0,1)," ",_xlfn.XLOOKUP(A54,'Data Set 2 - Vehicles'!$A$2:$A$158,'Data Set 2 - Vehicles'!$E$2:$E$158,"Not Found",0,1))="Not Found Not Found", "Not Found",_xlfn.CONCAT(_xlfn.XLOOKUP(A54,'Data Set 2 - Vehicles'!$A$2:$A$158,'Data Set 2 - Vehicles'!$D$2:$D$158,"Not Found",0,1)," ",_xlfn.XLOOKUP(A54,'Data Set 2 - Vehicles'!$A$2:$A$158,'Data Set 2 - Vehicles'!$E$2:$E$158,"Not Found",0,1)))</f>
        <v>Cadillac Seville</v>
      </c>
      <c r="R54" s="5">
        <f>_xlfn.XLOOKUP(A54,'Data Set 2 - Vehicles'!$A$2:$A$158,'Data Set 2 - Vehicles'!$O$2:$O$158,"",0,1)</f>
        <v>40662</v>
      </c>
      <c r="S54" s="1" t="str">
        <f>IF(_xlfn.XLOOKUP(A54,'Data Set 2 - Vehicles'!$A$2:$A$158,'Data Set 2 - Vehicles'!$E$2:$E$158,"Has No Vehicle",0,-1)=P54,"Has Only One Vehicle",_xlfn.XLOOKUP(A54,'Data Set 2 - Vehicles'!$A$2:$A$158,'Data Set 2 - Vehicles'!$E$2:$E$158,"Has No Vehcile",0,-1))</f>
        <v>Has Only One Vehicle</v>
      </c>
      <c r="T54" s="1" t="str">
        <f>_xlfn.LET(_xlpm.mfcname,_xlfn.XLOOKUP(A54,'Data Set 2 - Vehicles'!$A$2:$A$158,'Data Set 2 - Vehicles'!$D$2:$D$158,"NF",0,-1),_xlpm.mdlname,_xlfn.XLOOKUP(A54,'Data Set 2 - Vehicles'!$A$2:$A$158,'Data Set 2 - Vehicles'!$E$2:$E$158,"NF",0,-1),_xlpm.vehcilename,_xlfn.CONCAT(_xlpm.mfcname," ",_xlpm.mdlname),IF(S54="Has No Vehicle","Has No Vehicle",IF(S54="Has Only One Vehicle","Has Only One Vehicle",IF(_xlpm.vehcilename="NF NF","Not Found",_xlpm.vehcilename))))</f>
        <v>Has Only One Vehicle</v>
      </c>
      <c r="U54" s="24" t="str">
        <f>_xlfn.LET(_xlpm.vserdate,_xlfn.XLOOKUP(A54,'Data Set 2 - Vehicles'!$A$2:$A$158,'Data Set 2 - Vehicles'!$O$2:$O$158,"NF",0,-1), IF(OR('Data Set 1'!S54="Has No Vehicle",'Data Set 1'!S54="Has Only One Vehicle"),'Data Set 1'!S54,_xlpm.vserdate))</f>
        <v>Has Only One Vehicle</v>
      </c>
      <c r="V54" s="1">
        <f>SUMIF('Data Set 2 - Vehicles'!$A$2:$A$158,'Data Set 1'!A54,'Data Set 2 - Vehicles'!$Q$2:$Q$158)</f>
        <v>117283</v>
      </c>
      <c r="W54" s="5">
        <f>_xlfn.LET(_xlpm.maxdate,_xlfn.MAXIFS('Data Set 2 - Vehicles'!$O$2:$O$158,'Data Set 2 - Vehicles'!$A$2:$A$158,'Data Set 1'!A54),IF(_xlpm.maxdate=0,"",_xlpm.maxdate))</f>
        <v>40662</v>
      </c>
      <c r="X54" s="1" t="str">
        <f t="shared" ca="1" si="3"/>
        <v>InActive</v>
      </c>
      <c r="Y5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55" spans="1:25" ht="12.75" x14ac:dyDescent="0.35">
      <c r="A55" s="15">
        <v>1088</v>
      </c>
      <c r="B55" s="1" t="s">
        <v>686</v>
      </c>
      <c r="C55" s="1" t="s">
        <v>687</v>
      </c>
      <c r="D55" s="7"/>
      <c r="E55" s="1" t="s">
        <v>688</v>
      </c>
      <c r="F55" s="1" t="s">
        <v>689</v>
      </c>
      <c r="G55" s="11" t="s">
        <v>392</v>
      </c>
      <c r="H55" s="11">
        <v>60201</v>
      </c>
      <c r="I55" s="1" t="str">
        <f t="shared" si="0"/>
        <v>Lai Gato</v>
      </c>
      <c r="J55" s="1" t="str">
        <f t="shared" si="1"/>
        <v>Lai Gato</v>
      </c>
      <c r="K55" s="1" t="str">
        <f t="shared" si="2"/>
        <v>37</v>
      </c>
      <c r="L55" s="1" t="str">
        <f>VLOOKUP(A55,'Data Set 3 - Contacts'!$A$2:$F$136,5,FALSE)</f>
        <v>8477287286</v>
      </c>
      <c r="M55" s="1" t="str">
        <f>VLOOKUP(A55,'Data Set 3 - Contacts'!$A$2:$F$136,6,FALSE)</f>
        <v>8479574614</v>
      </c>
      <c r="N55" s="1" t="str">
        <f>VLOOKUP(A55,'Data Set 3 - Contacts'!$A$2:$F$136,4,FALSE)</f>
        <v>lai.gato@gato.org</v>
      </c>
      <c r="O55" s="1">
        <f>_xlfn.XLOOKUP(A55,'Data Set 2 - Vehicles'!$A$2:$A$158,'Data Set 2 - Vehicles'!$B$2:$B$158,0,0,-1)</f>
        <v>1</v>
      </c>
      <c r="P55" s="1" t="str">
        <f>_xlfn.XLOOKUP(A55,'Data Set 2 - Vehicles'!$A$2:$A$158,'Data Set 2 - Vehicles'!$E$2:$E$158,"Not Found",0,1)</f>
        <v>Montero</v>
      </c>
      <c r="Q55" s="1" t="str">
        <f>IF(_xlfn.CONCAT(_xlfn.XLOOKUP(A55,'Data Set 2 - Vehicles'!$A$2:$A$158,'Data Set 2 - Vehicles'!$D$2:$D$158,"Not Found",0,1)," ",_xlfn.XLOOKUP(A55,'Data Set 2 - Vehicles'!$A$2:$A$158,'Data Set 2 - Vehicles'!$E$2:$E$158,"Not Found",0,1))="Not Found Not Found", "Not Found",_xlfn.CONCAT(_xlfn.XLOOKUP(A55,'Data Set 2 - Vehicles'!$A$2:$A$158,'Data Set 2 - Vehicles'!$D$2:$D$158,"Not Found",0,1)," ",_xlfn.XLOOKUP(A55,'Data Set 2 - Vehicles'!$A$2:$A$158,'Data Set 2 - Vehicles'!$E$2:$E$158,"Not Found",0,1)))</f>
        <v>Mitsubishi Montero</v>
      </c>
      <c r="R55" s="5">
        <f>_xlfn.XLOOKUP(A55,'Data Set 2 - Vehicles'!$A$2:$A$158,'Data Set 2 - Vehicles'!$O$2:$O$158,"",0,1)</f>
        <v>43117</v>
      </c>
      <c r="S55" s="1" t="str">
        <f>IF(_xlfn.XLOOKUP(A55,'Data Set 2 - Vehicles'!$A$2:$A$158,'Data Set 2 - Vehicles'!$E$2:$E$158,"Has No Vehicle",0,-1)=P55,"Has Only One Vehicle",_xlfn.XLOOKUP(A55,'Data Set 2 - Vehicles'!$A$2:$A$158,'Data Set 2 - Vehicles'!$E$2:$E$158,"Has No Vehcile",0,-1))</f>
        <v>Has Only One Vehicle</v>
      </c>
      <c r="T55" s="1" t="str">
        <f>_xlfn.LET(_xlpm.mfcname,_xlfn.XLOOKUP(A55,'Data Set 2 - Vehicles'!$A$2:$A$158,'Data Set 2 - Vehicles'!$D$2:$D$158,"NF",0,-1),_xlpm.mdlname,_xlfn.XLOOKUP(A55,'Data Set 2 - Vehicles'!$A$2:$A$158,'Data Set 2 - Vehicles'!$E$2:$E$158,"NF",0,-1),_xlpm.vehcilename,_xlfn.CONCAT(_xlpm.mfcname," ",_xlpm.mdlname),IF(S55="Has No Vehicle","Has No Vehicle",IF(S55="Has Only One Vehicle","Has Only One Vehicle",IF(_xlpm.vehcilename="NF NF","Not Found",_xlpm.vehcilename))))</f>
        <v>Has Only One Vehicle</v>
      </c>
      <c r="U55" s="24" t="str">
        <f>_xlfn.LET(_xlpm.vserdate,_xlfn.XLOOKUP(A55,'Data Set 2 - Vehicles'!$A$2:$A$158,'Data Set 2 - Vehicles'!$O$2:$O$158,"NF",0,-1), IF(OR('Data Set 1'!S55="Has No Vehicle",'Data Set 1'!S55="Has Only One Vehicle"),'Data Set 1'!S55,_xlpm.vserdate))</f>
        <v>Has Only One Vehicle</v>
      </c>
      <c r="V55" s="1">
        <f>SUMIF('Data Set 2 - Vehicles'!$A$2:$A$158,'Data Set 1'!A55,'Data Set 2 - Vehicles'!$Q$2:$Q$158)</f>
        <v>101713</v>
      </c>
      <c r="W55" s="5">
        <f>_xlfn.LET(_xlpm.maxdate,_xlfn.MAXIFS('Data Set 2 - Vehicles'!$O$2:$O$158,'Data Set 2 - Vehicles'!$A$2:$A$158,'Data Set 1'!A55),IF(_xlpm.maxdate=0,"",_xlpm.maxdate))</f>
        <v>43117</v>
      </c>
      <c r="X55" s="1" t="str">
        <f t="shared" ca="1" si="3"/>
        <v>InActive</v>
      </c>
      <c r="Y5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56" spans="1:25" ht="12.75" x14ac:dyDescent="0.35">
      <c r="A56" s="15">
        <v>1024</v>
      </c>
      <c r="B56" s="1" t="s">
        <v>691</v>
      </c>
      <c r="C56" s="1" t="s">
        <v>693</v>
      </c>
      <c r="D56" s="7"/>
      <c r="E56" s="1" t="s">
        <v>694</v>
      </c>
      <c r="F56" s="1" t="s">
        <v>536</v>
      </c>
      <c r="G56" s="11" t="s">
        <v>405</v>
      </c>
      <c r="H56" s="11">
        <v>12204</v>
      </c>
      <c r="I56" s="1" t="str">
        <f t="shared" si="0"/>
        <v>Maryann Royster</v>
      </c>
      <c r="J56" s="1" t="str">
        <f t="shared" si="1"/>
        <v>Maryann Royster</v>
      </c>
      <c r="K56" s="1" t="str">
        <f t="shared" si="2"/>
        <v>74</v>
      </c>
      <c r="L56" s="1" t="str">
        <f>VLOOKUP(A56,'Data Set 3 - Contacts'!$A$2:$F$136,5,FALSE)</f>
        <v>5189667987</v>
      </c>
      <c r="M56" s="1" t="str">
        <f>VLOOKUP(A56,'Data Set 3 - Contacts'!$A$2:$F$136,6,FALSE)</f>
        <v/>
      </c>
      <c r="N56" s="1" t="str">
        <f>VLOOKUP(A56,'Data Set 3 - Contacts'!$A$2:$F$136,4,FALSE)</f>
        <v>mroyster@royster.com</v>
      </c>
      <c r="O56" s="1">
        <f>_xlfn.XLOOKUP(A56,'Data Set 2 - Vehicles'!$A$2:$A$158,'Data Set 2 - Vehicles'!$B$2:$B$158,0,0,-1)</f>
        <v>2</v>
      </c>
      <c r="P56" s="1" t="str">
        <f>_xlfn.XLOOKUP(A56,'Data Set 2 - Vehicles'!$A$2:$A$158,'Data Set 2 - Vehicles'!$E$2:$E$158,"Not Found",0,1)</f>
        <v>Regal</v>
      </c>
      <c r="Q56" s="1" t="str">
        <f>IF(_xlfn.CONCAT(_xlfn.XLOOKUP(A56,'Data Set 2 - Vehicles'!$A$2:$A$158,'Data Set 2 - Vehicles'!$D$2:$D$158,"Not Found",0,1)," ",_xlfn.XLOOKUP(A56,'Data Set 2 - Vehicles'!$A$2:$A$158,'Data Set 2 - Vehicles'!$E$2:$E$158,"Not Found",0,1))="Not Found Not Found", "Not Found",_xlfn.CONCAT(_xlfn.XLOOKUP(A56,'Data Set 2 - Vehicles'!$A$2:$A$158,'Data Set 2 - Vehicles'!$D$2:$D$158,"Not Found",0,1)," ",_xlfn.XLOOKUP(A56,'Data Set 2 - Vehicles'!$A$2:$A$158,'Data Set 2 - Vehicles'!$E$2:$E$158,"Not Found",0,1)))</f>
        <v>Buick Regal</v>
      </c>
      <c r="R56" s="5">
        <f>_xlfn.XLOOKUP(A56,'Data Set 2 - Vehicles'!$A$2:$A$158,'Data Set 2 - Vehicles'!$O$2:$O$158,"",0,1)</f>
        <v>45172</v>
      </c>
      <c r="S56" s="1" t="str">
        <f>IF(_xlfn.XLOOKUP(A56,'Data Set 2 - Vehicles'!$A$2:$A$158,'Data Set 2 - Vehicles'!$E$2:$E$158,"Has No Vehicle",0,-1)=P56,"Has Only One Vehicle",_xlfn.XLOOKUP(A56,'Data Set 2 - Vehicles'!$A$2:$A$158,'Data Set 2 - Vehicles'!$E$2:$E$158,"Has No Vehcile",0,-1))</f>
        <v>Ranger</v>
      </c>
      <c r="T56" s="1" t="str">
        <f>_xlfn.LET(_xlpm.mfcname,_xlfn.XLOOKUP(A56,'Data Set 2 - Vehicles'!$A$2:$A$158,'Data Set 2 - Vehicles'!$D$2:$D$158,"NF",0,-1),_xlpm.mdlname,_xlfn.XLOOKUP(A56,'Data Set 2 - Vehicles'!$A$2:$A$158,'Data Set 2 - Vehicles'!$E$2:$E$158,"NF",0,-1),_xlpm.vehcilename,_xlfn.CONCAT(_xlpm.mfcname," ",_xlpm.mdlname),IF(S56="Has No Vehicle","Has No Vehicle",IF(S56="Has Only One Vehicle","Has Only One Vehicle",IF(_xlpm.vehcilename="NF NF","Not Found",_xlpm.vehcilename))))</f>
        <v>Ford Ranger</v>
      </c>
      <c r="U56" s="24">
        <f>_xlfn.LET(_xlpm.vserdate,_xlfn.XLOOKUP(A56,'Data Set 2 - Vehicles'!$A$2:$A$158,'Data Set 2 - Vehicles'!$O$2:$O$158,"NF",0,-1), IF(OR('Data Set 1'!S56="Has No Vehicle",'Data Set 1'!S56="Has Only One Vehicle"),'Data Set 1'!S56,_xlpm.vserdate))</f>
        <v>40557</v>
      </c>
      <c r="V56" s="1">
        <f>SUMIF('Data Set 2 - Vehicles'!$A$2:$A$158,'Data Set 1'!A56,'Data Set 2 - Vehicles'!$Q$2:$Q$158)</f>
        <v>456490</v>
      </c>
      <c r="W56" s="5">
        <f>_xlfn.LET(_xlpm.maxdate,_xlfn.MAXIFS('Data Set 2 - Vehicles'!$O$2:$O$158,'Data Set 2 - Vehicles'!$A$2:$A$158,'Data Set 1'!A56),IF(_xlpm.maxdate=0,"",_xlpm.maxdate))</f>
        <v>45172</v>
      </c>
      <c r="X56" s="1" t="str">
        <f t="shared" ca="1" si="3"/>
        <v>Active</v>
      </c>
      <c r="Y5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57" spans="1:25" ht="12.75" x14ac:dyDescent="0.35">
      <c r="A57" s="15">
        <v>1468</v>
      </c>
      <c r="B57" s="1"/>
      <c r="C57" s="1"/>
      <c r="D57" s="7" t="s">
        <v>695</v>
      </c>
      <c r="E57" s="1" t="s">
        <v>696</v>
      </c>
      <c r="F57" s="1" t="s">
        <v>697</v>
      </c>
      <c r="G57" s="11" t="s">
        <v>698</v>
      </c>
      <c r="H57" s="11">
        <v>68124</v>
      </c>
      <c r="I57" s="1" t="str">
        <f t="shared" si="0"/>
        <v xml:space="preserve"> </v>
      </c>
      <c r="J57" s="1" t="str">
        <f t="shared" si="1"/>
        <v>Fresno Tile Center Inc</v>
      </c>
      <c r="K57" s="1" t="str">
        <f t="shared" si="2"/>
        <v>21575</v>
      </c>
      <c r="L57" s="1" t="str">
        <f>VLOOKUP(A57,'Data Set 3 - Contacts'!$A$2:$F$136,5,FALSE)</f>
        <v>4028965943</v>
      </c>
      <c r="M57" s="1" t="str">
        <f>VLOOKUP(A57,'Data Set 3 - Contacts'!$A$2:$F$136,6,FALSE)</f>
        <v/>
      </c>
      <c r="N57" s="1" t="str">
        <f>VLOOKUP(A57,'Data Set 3 - Contacts'!$A$2:$F$136,4,FALSE)</f>
        <v>colette.kardas@yahoo.com</v>
      </c>
      <c r="O57" s="1">
        <f>_xlfn.XLOOKUP(A57,'Data Set 2 - Vehicles'!$A$2:$A$158,'Data Set 2 - Vehicles'!$B$2:$B$158,0,0,-1)</f>
        <v>2</v>
      </c>
      <c r="P57" s="1" t="str">
        <f>_xlfn.XLOOKUP(A57,'Data Set 2 - Vehicles'!$A$2:$A$158,'Data Set 2 - Vehicles'!$E$2:$E$158,"Not Found",0,1)</f>
        <v>SL</v>
      </c>
      <c r="Q57" s="1" t="str">
        <f>IF(_xlfn.CONCAT(_xlfn.XLOOKUP(A57,'Data Set 2 - Vehicles'!$A$2:$A$158,'Data Set 2 - Vehicles'!$D$2:$D$158,"Not Found",0,1)," ",_xlfn.XLOOKUP(A57,'Data Set 2 - Vehicles'!$A$2:$A$158,'Data Set 2 - Vehicles'!$E$2:$E$158,"Not Found",0,1))="Not Found Not Found", "Not Found",_xlfn.CONCAT(_xlfn.XLOOKUP(A57,'Data Set 2 - Vehicles'!$A$2:$A$158,'Data Set 2 - Vehicles'!$D$2:$D$158,"Not Found",0,1)," ",_xlfn.XLOOKUP(A57,'Data Set 2 - Vehicles'!$A$2:$A$158,'Data Set 2 - Vehicles'!$E$2:$E$158,"Not Found",0,1)))</f>
        <v>Saturn SL</v>
      </c>
      <c r="R57" s="5">
        <f>_xlfn.XLOOKUP(A57,'Data Set 2 - Vehicles'!$A$2:$A$158,'Data Set 2 - Vehicles'!$O$2:$O$158,"",0,1)</f>
        <v>42598</v>
      </c>
      <c r="S57" s="1" t="str">
        <f>IF(_xlfn.XLOOKUP(A57,'Data Set 2 - Vehicles'!$A$2:$A$158,'Data Set 2 - Vehicles'!$E$2:$E$158,"Has No Vehicle",0,-1)=P57,"Has Only One Vehicle",_xlfn.XLOOKUP(A57,'Data Set 2 - Vehicles'!$A$2:$A$158,'Data Set 2 - Vehicles'!$E$2:$E$158,"Has No Vehcile",0,-1))</f>
        <v>S70</v>
      </c>
      <c r="T57" s="1" t="str">
        <f>_xlfn.LET(_xlpm.mfcname,_xlfn.XLOOKUP(A57,'Data Set 2 - Vehicles'!$A$2:$A$158,'Data Set 2 - Vehicles'!$D$2:$D$158,"NF",0,-1),_xlpm.mdlname,_xlfn.XLOOKUP(A57,'Data Set 2 - Vehicles'!$A$2:$A$158,'Data Set 2 - Vehicles'!$E$2:$E$158,"NF",0,-1),_xlpm.vehcilename,_xlfn.CONCAT(_xlpm.mfcname," ",_xlpm.mdlname),IF(S57="Has No Vehicle","Has No Vehicle",IF(S57="Has Only One Vehicle","Has Only One Vehicle",IF(_xlpm.vehcilename="NF NF","Not Found",_xlpm.vehcilename))))</f>
        <v>Volvo S70</v>
      </c>
      <c r="U57" s="24">
        <f>_xlfn.LET(_xlpm.vserdate,_xlfn.XLOOKUP(A57,'Data Set 2 - Vehicles'!$A$2:$A$158,'Data Set 2 - Vehicles'!$O$2:$O$158,"NF",0,-1), IF(OR('Data Set 1'!S57="Has No Vehicle",'Data Set 1'!S57="Has Only One Vehicle"),'Data Set 1'!S57,_xlpm.vserdate))</f>
        <v>41967</v>
      </c>
      <c r="V57" s="1">
        <f>SUMIF('Data Set 2 - Vehicles'!$A$2:$A$158,'Data Set 1'!A57,'Data Set 2 - Vehicles'!$Q$2:$Q$158)</f>
        <v>322944</v>
      </c>
      <c r="W57" s="5">
        <f>_xlfn.LET(_xlpm.maxdate,_xlfn.MAXIFS('Data Set 2 - Vehicles'!$O$2:$O$158,'Data Set 2 - Vehicles'!$A$2:$A$158,'Data Set 1'!A57),IF(_xlpm.maxdate=0,"",_xlpm.maxdate))</f>
        <v>42598</v>
      </c>
      <c r="X57" s="1" t="str">
        <f t="shared" ca="1" si="3"/>
        <v>InActive</v>
      </c>
      <c r="Y5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58" spans="1:25" ht="12.75" x14ac:dyDescent="0.35">
      <c r="A58" s="15">
        <v>1081</v>
      </c>
      <c r="B58" s="1"/>
      <c r="C58" s="1"/>
      <c r="D58" s="7" t="s">
        <v>700</v>
      </c>
      <c r="E58" s="1" t="s">
        <v>701</v>
      </c>
      <c r="F58" s="1" t="s">
        <v>702</v>
      </c>
      <c r="G58" s="11" t="s">
        <v>569</v>
      </c>
      <c r="H58" s="11">
        <v>88101</v>
      </c>
      <c r="I58" s="1" t="str">
        <f t="shared" si="0"/>
        <v xml:space="preserve"> </v>
      </c>
      <c r="J58" s="1" t="str">
        <f t="shared" si="1"/>
        <v>Garrison Ind</v>
      </c>
      <c r="K58" s="1" t="str">
        <f t="shared" si="2"/>
        <v>31</v>
      </c>
      <c r="L58" s="1" t="str">
        <f>VLOOKUP(A58,'Data Set 3 - Contacts'!$A$2:$F$136,5,FALSE)</f>
        <v>5059758559</v>
      </c>
      <c r="M58" s="1" t="str">
        <f>VLOOKUP(A58,'Data Set 3 - Contacts'!$A$2:$F$136,6,FALSE)</f>
        <v>5059501763</v>
      </c>
      <c r="N58" s="1" t="str">
        <f>VLOOKUP(A58,'Data Set 3 - Contacts'!$A$2:$F$136,4,FALSE)</f>
        <v>devorah@hotmail.com</v>
      </c>
      <c r="O58" s="1">
        <f>_xlfn.XLOOKUP(A58,'Data Set 2 - Vehicles'!$A$2:$A$158,'Data Set 2 - Vehicles'!$B$2:$B$158,0,0,-1)</f>
        <v>1</v>
      </c>
      <c r="P58" s="1" t="str">
        <f>_xlfn.XLOOKUP(A58,'Data Set 2 - Vehicles'!$A$2:$A$158,'Data Set 2 - Vehicles'!$E$2:$E$158,"Not Found",0,1)</f>
        <v>S-Class</v>
      </c>
      <c r="Q58" s="1" t="str">
        <f>IF(_xlfn.CONCAT(_xlfn.XLOOKUP(A58,'Data Set 2 - Vehicles'!$A$2:$A$158,'Data Set 2 - Vehicles'!$D$2:$D$158,"Not Found",0,1)," ",_xlfn.XLOOKUP(A58,'Data Set 2 - Vehicles'!$A$2:$A$158,'Data Set 2 - Vehicles'!$E$2:$E$158,"Not Found",0,1))="Not Found Not Found", "Not Found",_xlfn.CONCAT(_xlfn.XLOOKUP(A58,'Data Set 2 - Vehicles'!$A$2:$A$158,'Data Set 2 - Vehicles'!$D$2:$D$158,"Not Found",0,1)," ",_xlfn.XLOOKUP(A58,'Data Set 2 - Vehicles'!$A$2:$A$158,'Data Set 2 - Vehicles'!$E$2:$E$158,"Not Found",0,1)))</f>
        <v>Mercedes-B S-Class</v>
      </c>
      <c r="R58" s="5">
        <f>_xlfn.XLOOKUP(A58,'Data Set 2 - Vehicles'!$A$2:$A$158,'Data Set 2 - Vehicles'!$O$2:$O$158,"",0,1)</f>
        <v>45090</v>
      </c>
      <c r="S58" s="1" t="str">
        <f>IF(_xlfn.XLOOKUP(A58,'Data Set 2 - Vehicles'!$A$2:$A$158,'Data Set 2 - Vehicles'!$E$2:$E$158,"Has No Vehicle",0,-1)=P58,"Has Only One Vehicle",_xlfn.XLOOKUP(A58,'Data Set 2 - Vehicles'!$A$2:$A$158,'Data Set 2 - Vehicles'!$E$2:$E$158,"Has No Vehcile",0,-1))</f>
        <v>Has Only One Vehicle</v>
      </c>
      <c r="T58" s="1" t="str">
        <f>_xlfn.LET(_xlpm.mfcname,_xlfn.XLOOKUP(A58,'Data Set 2 - Vehicles'!$A$2:$A$158,'Data Set 2 - Vehicles'!$D$2:$D$158,"NF",0,-1),_xlpm.mdlname,_xlfn.XLOOKUP(A58,'Data Set 2 - Vehicles'!$A$2:$A$158,'Data Set 2 - Vehicles'!$E$2:$E$158,"NF",0,-1),_xlpm.vehcilename,_xlfn.CONCAT(_xlpm.mfcname," ",_xlpm.mdlname),IF(S58="Has No Vehicle","Has No Vehicle",IF(S58="Has Only One Vehicle","Has Only One Vehicle",IF(_xlpm.vehcilename="NF NF","Not Found",_xlpm.vehcilename))))</f>
        <v>Has Only One Vehicle</v>
      </c>
      <c r="U58" s="24" t="str">
        <f>_xlfn.LET(_xlpm.vserdate,_xlfn.XLOOKUP(A58,'Data Set 2 - Vehicles'!$A$2:$A$158,'Data Set 2 - Vehicles'!$O$2:$O$158,"NF",0,-1), IF(OR('Data Set 1'!S58="Has No Vehicle",'Data Set 1'!S58="Has Only One Vehicle"),'Data Set 1'!S58,_xlpm.vserdate))</f>
        <v>Has Only One Vehicle</v>
      </c>
      <c r="V58" s="1">
        <f>SUMIF('Data Set 2 - Vehicles'!$A$2:$A$158,'Data Set 1'!A58,'Data Set 2 - Vehicles'!$Q$2:$Q$158)</f>
        <v>252177</v>
      </c>
      <c r="W58" s="5">
        <f>_xlfn.LET(_xlpm.maxdate,_xlfn.MAXIFS('Data Set 2 - Vehicles'!$O$2:$O$158,'Data Set 2 - Vehicles'!$A$2:$A$158,'Data Set 1'!A58),IF(_xlpm.maxdate=0,"",_xlpm.maxdate))</f>
        <v>45090</v>
      </c>
      <c r="X58" s="1" t="str">
        <f t="shared" ca="1" si="3"/>
        <v>Active</v>
      </c>
      <c r="Y5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59" spans="1:25" ht="12.75" x14ac:dyDescent="0.35">
      <c r="A59" s="17">
        <v>1339</v>
      </c>
      <c r="B59" s="1" t="s">
        <v>704</v>
      </c>
      <c r="C59" s="1" t="s">
        <v>705</v>
      </c>
      <c r="D59" s="7"/>
      <c r="E59" s="1" t="s">
        <v>706</v>
      </c>
      <c r="F59" s="1" t="s">
        <v>707</v>
      </c>
      <c r="G59" s="11" t="s">
        <v>495</v>
      </c>
      <c r="H59" s="11">
        <v>21230</v>
      </c>
      <c r="I59" s="1" t="str">
        <f t="shared" si="0"/>
        <v>Kaitlyn Ogg</v>
      </c>
      <c r="J59" s="1" t="str">
        <f t="shared" si="1"/>
        <v>Kaitlyn Ogg</v>
      </c>
      <c r="K59" s="1" t="str">
        <f t="shared" si="2"/>
        <v>2</v>
      </c>
      <c r="L59" s="1" t="str">
        <f>VLOOKUP(A59,'Data Set 3 - Contacts'!$A$2:$F$136,5,FALSE)</f>
        <v>4106654903</v>
      </c>
      <c r="M59" s="1" t="str">
        <f>VLOOKUP(A59,'Data Set 3 - Contacts'!$A$2:$F$136,6,FALSE)</f>
        <v>4107733862</v>
      </c>
      <c r="N59" s="1" t="str">
        <f>VLOOKUP(A59,'Data Set 3 - Contacts'!$A$2:$F$136,4,FALSE)</f>
        <v>kaitlyn.ogg@gmail.com</v>
      </c>
      <c r="O59" s="1">
        <f>_xlfn.XLOOKUP(A59,'Data Set 2 - Vehicles'!$A$2:$A$158,'Data Set 2 - Vehicles'!$B$2:$B$158,0,0,-1)</f>
        <v>1</v>
      </c>
      <c r="P59" s="1" t="str">
        <f>_xlfn.XLOOKUP(A59,'Data Set 2 - Vehicles'!$A$2:$A$158,'Data Set 2 - Vehicles'!$E$2:$E$158,"Not Found",0,1)</f>
        <v>Concorde</v>
      </c>
      <c r="Q59" s="1" t="str">
        <f>IF(_xlfn.CONCAT(_xlfn.XLOOKUP(A59,'Data Set 2 - Vehicles'!$A$2:$A$158,'Data Set 2 - Vehicles'!$D$2:$D$158,"Not Found",0,1)," ",_xlfn.XLOOKUP(A59,'Data Set 2 - Vehicles'!$A$2:$A$158,'Data Set 2 - Vehicles'!$E$2:$E$158,"Not Found",0,1))="Not Found Not Found", "Not Found",_xlfn.CONCAT(_xlfn.XLOOKUP(A59,'Data Set 2 - Vehicles'!$A$2:$A$158,'Data Set 2 - Vehicles'!$D$2:$D$158,"Not Found",0,1)," ",_xlfn.XLOOKUP(A59,'Data Set 2 - Vehicles'!$A$2:$A$158,'Data Set 2 - Vehicles'!$E$2:$E$158,"Not Found",0,1)))</f>
        <v>Chrysler Concorde</v>
      </c>
      <c r="R59" s="5">
        <f>_xlfn.XLOOKUP(A59,'Data Set 2 - Vehicles'!$A$2:$A$158,'Data Set 2 - Vehicles'!$O$2:$O$158,"",0,1)</f>
        <v>39239</v>
      </c>
      <c r="S59" s="1" t="str">
        <f>IF(_xlfn.XLOOKUP(A59,'Data Set 2 - Vehicles'!$A$2:$A$158,'Data Set 2 - Vehicles'!$E$2:$E$158,"Has No Vehicle",0,-1)=P59,"Has Only One Vehicle",_xlfn.XLOOKUP(A59,'Data Set 2 - Vehicles'!$A$2:$A$158,'Data Set 2 - Vehicles'!$E$2:$E$158,"Has No Vehcile",0,-1))</f>
        <v>Has Only One Vehicle</v>
      </c>
      <c r="T59" s="1" t="str">
        <f>_xlfn.LET(_xlpm.mfcname,_xlfn.XLOOKUP(A59,'Data Set 2 - Vehicles'!$A$2:$A$158,'Data Set 2 - Vehicles'!$D$2:$D$158,"NF",0,-1),_xlpm.mdlname,_xlfn.XLOOKUP(A59,'Data Set 2 - Vehicles'!$A$2:$A$158,'Data Set 2 - Vehicles'!$E$2:$E$158,"NF",0,-1),_xlpm.vehcilename,_xlfn.CONCAT(_xlpm.mfcname," ",_xlpm.mdlname),IF(S59="Has No Vehicle","Has No Vehicle",IF(S59="Has Only One Vehicle","Has Only One Vehicle",IF(_xlpm.vehcilename="NF NF","Not Found",_xlpm.vehcilename))))</f>
        <v>Has Only One Vehicle</v>
      </c>
      <c r="U59" s="24" t="str">
        <f>_xlfn.LET(_xlpm.vserdate,_xlfn.XLOOKUP(A59,'Data Set 2 - Vehicles'!$A$2:$A$158,'Data Set 2 - Vehicles'!$O$2:$O$158,"NF",0,-1), IF(OR('Data Set 1'!S59="Has No Vehicle",'Data Set 1'!S59="Has Only One Vehicle"),'Data Set 1'!S59,_xlpm.vserdate))</f>
        <v>Has Only One Vehicle</v>
      </c>
      <c r="V59" s="1">
        <f>SUMIF('Data Set 2 - Vehicles'!$A$2:$A$158,'Data Set 1'!A59,'Data Set 2 - Vehicles'!$Q$2:$Q$158)</f>
        <v>145013</v>
      </c>
      <c r="W59" s="5">
        <f>_xlfn.LET(_xlpm.maxdate,_xlfn.MAXIFS('Data Set 2 - Vehicles'!$O$2:$O$158,'Data Set 2 - Vehicles'!$A$2:$A$158,'Data Set 1'!A59),IF(_xlpm.maxdate=0,"",_xlpm.maxdate))</f>
        <v>39239</v>
      </c>
      <c r="X59" s="1" t="str">
        <f t="shared" ca="1" si="3"/>
        <v>InActive</v>
      </c>
      <c r="Y5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60" spans="1:25" ht="12.75" x14ac:dyDescent="0.35">
      <c r="A60" s="17">
        <v>1310</v>
      </c>
      <c r="B60" s="1"/>
      <c r="C60" s="1"/>
      <c r="D60" s="7" t="s">
        <v>708</v>
      </c>
      <c r="E60" s="1" t="s">
        <v>709</v>
      </c>
      <c r="F60" s="1" t="s">
        <v>710</v>
      </c>
      <c r="G60" s="11" t="s">
        <v>660</v>
      </c>
      <c r="H60" s="11">
        <v>75150</v>
      </c>
      <c r="I60" s="1" t="str">
        <f t="shared" si="0"/>
        <v xml:space="preserve"> </v>
      </c>
      <c r="J60" s="1" t="str">
        <f t="shared" si="1"/>
        <v>General Foam Corporation</v>
      </c>
      <c r="K60" s="1" t="str">
        <f t="shared" si="2"/>
        <v>596</v>
      </c>
      <c r="L60" s="1" t="str">
        <f>VLOOKUP(A60,'Data Set 3 - Contacts'!$A$2:$F$136,5,FALSE)</f>
        <v>9724197946</v>
      </c>
      <c r="M60" s="1" t="str">
        <f>VLOOKUP(A60,'Data Set 3 - Contacts'!$A$2:$F$136,6,FALSE)</f>
        <v/>
      </c>
      <c r="N60" s="1" t="str">
        <f>VLOOKUP(A60,'Data Set 3 - Contacts'!$A$2:$F$136,4,FALSE)</f>
        <v>amie.perigo@yahoo.com</v>
      </c>
      <c r="O60" s="1">
        <f>_xlfn.XLOOKUP(A60,'Data Set 2 - Vehicles'!$A$2:$A$158,'Data Set 2 - Vehicles'!$B$2:$B$158,0,0,-1)</f>
        <v>1</v>
      </c>
      <c r="P60" s="1" t="str">
        <f>_xlfn.XLOOKUP(A60,'Data Set 2 - Vehicles'!$A$2:$A$158,'Data Set 2 - Vehicles'!$E$2:$E$158,"Not Found",0,1)</f>
        <v>Altima</v>
      </c>
      <c r="Q60" s="1" t="str">
        <f>IF(_xlfn.CONCAT(_xlfn.XLOOKUP(A60,'Data Set 2 - Vehicles'!$A$2:$A$158,'Data Set 2 - Vehicles'!$D$2:$D$158,"Not Found",0,1)," ",_xlfn.XLOOKUP(A60,'Data Set 2 - Vehicles'!$A$2:$A$158,'Data Set 2 - Vehicles'!$E$2:$E$158,"Not Found",0,1))="Not Found Not Found", "Not Found",_xlfn.CONCAT(_xlfn.XLOOKUP(A60,'Data Set 2 - Vehicles'!$A$2:$A$158,'Data Set 2 - Vehicles'!$D$2:$D$158,"Not Found",0,1)," ",_xlfn.XLOOKUP(A60,'Data Set 2 - Vehicles'!$A$2:$A$158,'Data Set 2 - Vehicles'!$E$2:$E$158,"Not Found",0,1)))</f>
        <v>Nissan Altima</v>
      </c>
      <c r="R60" s="5">
        <f>_xlfn.XLOOKUP(A60,'Data Set 2 - Vehicles'!$A$2:$A$158,'Data Set 2 - Vehicles'!$O$2:$O$158,"",0,1)</f>
        <v>44410</v>
      </c>
      <c r="S60" s="1" t="str">
        <f>IF(_xlfn.XLOOKUP(A60,'Data Set 2 - Vehicles'!$A$2:$A$158,'Data Set 2 - Vehicles'!$E$2:$E$158,"Has No Vehicle",0,-1)=P60,"Has Only One Vehicle",_xlfn.XLOOKUP(A60,'Data Set 2 - Vehicles'!$A$2:$A$158,'Data Set 2 - Vehicles'!$E$2:$E$158,"Has No Vehcile",0,-1))</f>
        <v>Has Only One Vehicle</v>
      </c>
      <c r="T60" s="1" t="str">
        <f>_xlfn.LET(_xlpm.mfcname,_xlfn.XLOOKUP(A60,'Data Set 2 - Vehicles'!$A$2:$A$158,'Data Set 2 - Vehicles'!$D$2:$D$158,"NF",0,-1),_xlpm.mdlname,_xlfn.XLOOKUP(A60,'Data Set 2 - Vehicles'!$A$2:$A$158,'Data Set 2 - Vehicles'!$E$2:$E$158,"NF",0,-1),_xlpm.vehcilename,_xlfn.CONCAT(_xlpm.mfcname," ",_xlpm.mdlname),IF(S60="Has No Vehicle","Has No Vehicle",IF(S60="Has Only One Vehicle","Has Only One Vehicle",IF(_xlpm.vehcilename="NF NF","Not Found",_xlpm.vehcilename))))</f>
        <v>Has Only One Vehicle</v>
      </c>
      <c r="U60" s="24" t="str">
        <f>_xlfn.LET(_xlpm.vserdate,_xlfn.XLOOKUP(A60,'Data Set 2 - Vehicles'!$A$2:$A$158,'Data Set 2 - Vehicles'!$O$2:$O$158,"NF",0,-1), IF(OR('Data Set 1'!S60="Has No Vehicle",'Data Set 1'!S60="Has Only One Vehicle"),'Data Set 1'!S60,_xlpm.vserdate))</f>
        <v>Has Only One Vehicle</v>
      </c>
      <c r="V60" s="1">
        <f>SUMIF('Data Set 2 - Vehicles'!$A$2:$A$158,'Data Set 1'!A60,'Data Set 2 - Vehicles'!$Q$2:$Q$158)</f>
        <v>195064</v>
      </c>
      <c r="W60" s="5">
        <f>_xlfn.LET(_xlpm.maxdate,_xlfn.MAXIFS('Data Set 2 - Vehicles'!$O$2:$O$158,'Data Set 2 - Vehicles'!$A$2:$A$158,'Data Set 1'!A60),IF(_xlpm.maxdate=0,"",_xlpm.maxdate))</f>
        <v>44410</v>
      </c>
      <c r="X60" s="1" t="str">
        <f t="shared" ca="1" si="3"/>
        <v>InActive</v>
      </c>
      <c r="Y6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61" spans="1:25" ht="12.75" x14ac:dyDescent="0.35">
      <c r="A61" s="15">
        <v>1286</v>
      </c>
      <c r="B61" s="1" t="s">
        <v>711</v>
      </c>
      <c r="C61" s="1" t="s">
        <v>712</v>
      </c>
      <c r="D61" s="7" t="s">
        <v>714</v>
      </c>
      <c r="E61" s="1" t="s">
        <v>715</v>
      </c>
      <c r="F61" s="1" t="s">
        <v>716</v>
      </c>
      <c r="G61" s="11" t="s">
        <v>717</v>
      </c>
      <c r="H61" s="11">
        <v>89701</v>
      </c>
      <c r="I61" s="1" t="str">
        <f t="shared" si="0"/>
        <v>Junita Stoltzman</v>
      </c>
      <c r="J61" s="1" t="str">
        <f t="shared" si="1"/>
        <v>Junita Stoltzman</v>
      </c>
      <c r="K61" s="1" t="str">
        <f t="shared" si="2"/>
        <v>94</v>
      </c>
      <c r="L61" s="1" t="str">
        <f>VLOOKUP(A61,'Data Set 3 - Contacts'!$A$2:$F$136,5,FALSE)</f>
        <v>7756389963</v>
      </c>
      <c r="M61" s="1" t="str">
        <f>VLOOKUP(A61,'Data Set 3 - Contacts'!$A$2:$F$136,6,FALSE)</f>
        <v>7755781214</v>
      </c>
      <c r="N61" s="1" t="str">
        <f>VLOOKUP(A61,'Data Set 3 - Contacts'!$A$2:$F$136,4,FALSE)</f>
        <v>junita@aol.com</v>
      </c>
      <c r="O61" s="1">
        <f>_xlfn.XLOOKUP(A61,'Data Set 2 - Vehicles'!$A$2:$A$158,'Data Set 2 - Vehicles'!$B$2:$B$158,0,0,-1)</f>
        <v>1</v>
      </c>
      <c r="P61" s="1" t="str">
        <f>_xlfn.XLOOKUP(A61,'Data Set 2 - Vehicles'!$A$2:$A$158,'Data Set 2 - Vehicles'!$E$2:$E$158,"Not Found",0,1)</f>
        <v>I30</v>
      </c>
      <c r="Q61" s="1" t="str">
        <f>IF(_xlfn.CONCAT(_xlfn.XLOOKUP(A61,'Data Set 2 - Vehicles'!$A$2:$A$158,'Data Set 2 - Vehicles'!$D$2:$D$158,"Not Found",0,1)," ",_xlfn.XLOOKUP(A61,'Data Set 2 - Vehicles'!$A$2:$A$158,'Data Set 2 - Vehicles'!$E$2:$E$158,"Not Found",0,1))="Not Found Not Found", "Not Found",_xlfn.CONCAT(_xlfn.XLOOKUP(A61,'Data Set 2 - Vehicles'!$A$2:$A$158,'Data Set 2 - Vehicles'!$D$2:$D$158,"Not Found",0,1)," ",_xlfn.XLOOKUP(A61,'Data Set 2 - Vehicles'!$A$2:$A$158,'Data Set 2 - Vehicles'!$E$2:$E$158,"Not Found",0,1)))</f>
        <v>Infiniti I30</v>
      </c>
      <c r="R61" s="5">
        <f>_xlfn.XLOOKUP(A61,'Data Set 2 - Vehicles'!$A$2:$A$158,'Data Set 2 - Vehicles'!$O$2:$O$158,"",0,1)</f>
        <v>40283</v>
      </c>
      <c r="S61" s="1" t="str">
        <f>IF(_xlfn.XLOOKUP(A61,'Data Set 2 - Vehicles'!$A$2:$A$158,'Data Set 2 - Vehicles'!$E$2:$E$158,"Has No Vehicle",0,-1)=P61,"Has Only One Vehicle",_xlfn.XLOOKUP(A61,'Data Set 2 - Vehicles'!$A$2:$A$158,'Data Set 2 - Vehicles'!$E$2:$E$158,"Has No Vehcile",0,-1))</f>
        <v>Has Only One Vehicle</v>
      </c>
      <c r="T61" s="1" t="str">
        <f>_xlfn.LET(_xlpm.mfcname,_xlfn.XLOOKUP(A61,'Data Set 2 - Vehicles'!$A$2:$A$158,'Data Set 2 - Vehicles'!$D$2:$D$158,"NF",0,-1),_xlpm.mdlname,_xlfn.XLOOKUP(A61,'Data Set 2 - Vehicles'!$A$2:$A$158,'Data Set 2 - Vehicles'!$E$2:$E$158,"NF",0,-1),_xlpm.vehcilename,_xlfn.CONCAT(_xlpm.mfcname," ",_xlpm.mdlname),IF(S61="Has No Vehicle","Has No Vehicle",IF(S61="Has Only One Vehicle","Has Only One Vehicle",IF(_xlpm.vehcilename="NF NF","Not Found",_xlpm.vehcilename))))</f>
        <v>Has Only One Vehicle</v>
      </c>
      <c r="U61" s="24" t="str">
        <f>_xlfn.LET(_xlpm.vserdate,_xlfn.XLOOKUP(A61,'Data Set 2 - Vehicles'!$A$2:$A$158,'Data Set 2 - Vehicles'!$O$2:$O$158,"NF",0,-1), IF(OR('Data Set 1'!S61="Has No Vehicle",'Data Set 1'!S61="Has Only One Vehicle"),'Data Set 1'!S61,_xlpm.vserdate))</f>
        <v>Has Only One Vehicle</v>
      </c>
      <c r="V61" s="1">
        <f>SUMIF('Data Set 2 - Vehicles'!$A$2:$A$158,'Data Set 1'!A61,'Data Set 2 - Vehicles'!$Q$2:$Q$158)</f>
        <v>199222</v>
      </c>
      <c r="W61" s="5">
        <f>_xlfn.LET(_xlpm.maxdate,_xlfn.MAXIFS('Data Set 2 - Vehicles'!$O$2:$O$158,'Data Set 2 - Vehicles'!$A$2:$A$158,'Data Set 1'!A61),IF(_xlpm.maxdate=0,"",_xlpm.maxdate))</f>
        <v>40283</v>
      </c>
      <c r="X61" s="1" t="str">
        <f t="shared" ca="1" si="3"/>
        <v>InActive</v>
      </c>
      <c r="Y6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62" spans="1:25" ht="12.75" x14ac:dyDescent="0.35">
      <c r="A62" s="15">
        <v>1064</v>
      </c>
      <c r="B62" s="1"/>
      <c r="C62" s="1"/>
      <c r="D62" s="7" t="s">
        <v>718</v>
      </c>
      <c r="E62" s="1" t="s">
        <v>719</v>
      </c>
      <c r="F62" s="1" t="s">
        <v>720</v>
      </c>
      <c r="G62" s="11" t="s">
        <v>448</v>
      </c>
      <c r="H62" s="11">
        <v>80126</v>
      </c>
      <c r="I62" s="1" t="str">
        <f t="shared" si="0"/>
        <v xml:space="preserve"> </v>
      </c>
      <c r="J62" s="1" t="str">
        <f t="shared" si="1"/>
        <v>George Jessop Carter Jewelers</v>
      </c>
      <c r="K62" s="1" t="str">
        <f t="shared" si="2"/>
        <v>2664</v>
      </c>
      <c r="L62" s="1" t="str">
        <f>VLOOKUP(A62,'Data Set 3 - Contacts'!$A$2:$F$136,5,FALSE)</f>
        <v>3037247371</v>
      </c>
      <c r="M62" s="1" t="str">
        <f>VLOOKUP(A62,'Data Set 3 - Contacts'!$A$2:$F$136,6,FALSE)</f>
        <v/>
      </c>
      <c r="N62" s="1" t="str">
        <f>VLOOKUP(A62,'Data Set 3 - Contacts'!$A$2:$F$136,4,FALSE)</f>
        <v>carmelina_lindall@lindall.com</v>
      </c>
      <c r="O62" s="1">
        <f>_xlfn.XLOOKUP(A62,'Data Set 2 - Vehicles'!$A$2:$A$158,'Data Set 2 - Vehicles'!$B$2:$B$158,0,0,-1)</f>
        <v>2</v>
      </c>
      <c r="P62" s="1" t="str">
        <f>_xlfn.XLOOKUP(A62,'Data Set 2 - Vehicles'!$A$2:$A$158,'Data Set 2 - Vehicles'!$E$2:$E$158,"Not Found",0,1)</f>
        <v>V40</v>
      </c>
      <c r="Q62" s="1" t="str">
        <f>IF(_xlfn.CONCAT(_xlfn.XLOOKUP(A62,'Data Set 2 - Vehicles'!$A$2:$A$158,'Data Set 2 - Vehicles'!$D$2:$D$158,"Not Found",0,1)," ",_xlfn.XLOOKUP(A62,'Data Set 2 - Vehicles'!$A$2:$A$158,'Data Set 2 - Vehicles'!$E$2:$E$158,"Not Found",0,1))="Not Found Not Found", "Not Found",_xlfn.CONCAT(_xlfn.XLOOKUP(A62,'Data Set 2 - Vehicles'!$A$2:$A$158,'Data Set 2 - Vehicles'!$D$2:$D$158,"Not Found",0,1)," ",_xlfn.XLOOKUP(A62,'Data Set 2 - Vehicles'!$A$2:$A$158,'Data Set 2 - Vehicles'!$E$2:$E$158,"Not Found",0,1)))</f>
        <v>Volvo V40</v>
      </c>
      <c r="R62" s="5">
        <f>_xlfn.XLOOKUP(A62,'Data Set 2 - Vehicles'!$A$2:$A$158,'Data Set 2 - Vehicles'!$O$2:$O$158,"",0,1)</f>
        <v>42268</v>
      </c>
      <c r="S62" s="1">
        <f>IF(_xlfn.XLOOKUP(A62,'Data Set 2 - Vehicles'!$A$2:$A$158,'Data Set 2 - Vehicles'!$E$2:$E$158,"Has No Vehicle",0,-1)=P62,"Has Only One Vehicle",_xlfn.XLOOKUP(A62,'Data Set 2 - Vehicles'!$A$2:$A$158,'Data Set 2 - Vehicles'!$E$2:$E$158,"Has No Vehcile",0,-1))</f>
        <v>44807</v>
      </c>
      <c r="T62" s="1" t="str">
        <f>_xlfn.LET(_xlpm.mfcname,_xlfn.XLOOKUP(A62,'Data Set 2 - Vehicles'!$A$2:$A$158,'Data Set 2 - Vehicles'!$D$2:$D$158,"NF",0,-1),_xlpm.mdlname,_xlfn.XLOOKUP(A62,'Data Set 2 - Vehicles'!$A$2:$A$158,'Data Set 2 - Vehicles'!$E$2:$E$158,"NF",0,-1),_xlpm.vehcilename,_xlfn.CONCAT(_xlpm.mfcname," ",_xlpm.mdlname),IF(S62="Has No Vehicle","Has No Vehicle",IF(S62="Has Only One Vehicle","Has Only One Vehicle",IF(_xlpm.vehcilename="NF NF","Not Found",_xlpm.vehcilename))))</f>
        <v>Saab 44807</v>
      </c>
      <c r="U62" s="24">
        <f>_xlfn.LET(_xlpm.vserdate,_xlfn.XLOOKUP(A62,'Data Set 2 - Vehicles'!$A$2:$A$158,'Data Set 2 - Vehicles'!$O$2:$O$158,"NF",0,-1), IF(OR('Data Set 1'!S62="Has No Vehicle",'Data Set 1'!S62="Has Only One Vehicle"),'Data Set 1'!S62,_xlpm.vserdate))</f>
        <v>41802</v>
      </c>
      <c r="V62" s="1">
        <f>SUMIF('Data Set 2 - Vehicles'!$A$2:$A$158,'Data Set 1'!A62,'Data Set 2 - Vehicles'!$Q$2:$Q$158)</f>
        <v>354965</v>
      </c>
      <c r="W62" s="5">
        <f>_xlfn.LET(_xlpm.maxdate,_xlfn.MAXIFS('Data Set 2 - Vehicles'!$O$2:$O$158,'Data Set 2 - Vehicles'!$A$2:$A$158,'Data Set 1'!A62),IF(_xlpm.maxdate=0,"",_xlpm.maxdate))</f>
        <v>42268</v>
      </c>
      <c r="X62" s="1" t="str">
        <f t="shared" ca="1" si="3"/>
        <v>InActive</v>
      </c>
      <c r="Y6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63" spans="1:25" ht="12.75" x14ac:dyDescent="0.35">
      <c r="A63" s="15">
        <v>1343</v>
      </c>
      <c r="B63" s="1"/>
      <c r="C63" s="1"/>
      <c r="D63" s="7" t="s">
        <v>722</v>
      </c>
      <c r="E63" s="1" t="s">
        <v>723</v>
      </c>
      <c r="F63" s="1" t="s">
        <v>724</v>
      </c>
      <c r="G63" s="11" t="s">
        <v>725</v>
      </c>
      <c r="H63" s="11">
        <v>2745</v>
      </c>
      <c r="I63" s="1" t="str">
        <f t="shared" si="0"/>
        <v xml:space="preserve"> </v>
      </c>
      <c r="J63" s="1" t="str">
        <f t="shared" si="1"/>
        <v>Goeman Wood Products Inc</v>
      </c>
      <c r="K63" s="1" t="str">
        <f t="shared" si="2"/>
        <v>8139</v>
      </c>
      <c r="L63" s="1" t="str">
        <f>VLOOKUP(A63,'Data Set 3 - Contacts'!$A$2:$F$136,5,FALSE)</f>
        <v>5088559887</v>
      </c>
      <c r="M63" s="1" t="str">
        <f>VLOOKUP(A63,'Data Set 3 - Contacts'!$A$2:$F$136,6,FALSE)</f>
        <v>5088977916</v>
      </c>
      <c r="N63" s="1" t="str">
        <f>VLOOKUP(A63,'Data Set 3 - Contacts'!$A$2:$F$136,4,FALSE)</f>
        <v>nobuko.halsey@yahoo.com</v>
      </c>
      <c r="O63" s="1">
        <f>_xlfn.XLOOKUP(A63,'Data Set 2 - Vehicles'!$A$2:$A$158,'Data Set 2 - Vehicles'!$B$2:$B$158,0,0,-1)</f>
        <v>0</v>
      </c>
      <c r="P63" s="1" t="str">
        <f>_xlfn.XLOOKUP(A63,'Data Set 2 - Vehicles'!$A$2:$A$158,'Data Set 2 - Vehicles'!$E$2:$E$158,"Not Found",0,1)</f>
        <v>Not Found</v>
      </c>
      <c r="Q63" s="1" t="str">
        <f>IF(_xlfn.CONCAT(_xlfn.XLOOKUP(A63,'Data Set 2 - Vehicles'!$A$2:$A$158,'Data Set 2 - Vehicles'!$D$2:$D$158,"Not Found",0,1)," ",_xlfn.XLOOKUP(A63,'Data Set 2 - Vehicles'!$A$2:$A$158,'Data Set 2 - Vehicles'!$E$2:$E$158,"Not Found",0,1))="Not Found Not Found", "Not Found",_xlfn.CONCAT(_xlfn.XLOOKUP(A63,'Data Set 2 - Vehicles'!$A$2:$A$158,'Data Set 2 - Vehicles'!$D$2:$D$158,"Not Found",0,1)," ",_xlfn.XLOOKUP(A63,'Data Set 2 - Vehicles'!$A$2:$A$158,'Data Set 2 - Vehicles'!$E$2:$E$158,"Not Found",0,1)))</f>
        <v>Not Found</v>
      </c>
      <c r="R63" s="5" t="str">
        <f>_xlfn.XLOOKUP(A63,'Data Set 2 - Vehicles'!$A$2:$A$158,'Data Set 2 - Vehicles'!$O$2:$O$158,"",0,1)</f>
        <v/>
      </c>
      <c r="S63" s="1" t="str">
        <f>IF(_xlfn.XLOOKUP(A63,'Data Set 2 - Vehicles'!$A$2:$A$158,'Data Set 2 - Vehicles'!$E$2:$E$158,"Has No Vehicle",0,-1)=P63,"Has Only One Vehicle",_xlfn.XLOOKUP(A63,'Data Set 2 - Vehicles'!$A$2:$A$158,'Data Set 2 - Vehicles'!$E$2:$E$158,"Has No Vehcile",0,-1))</f>
        <v>Has No Vehcile</v>
      </c>
      <c r="T63" s="1" t="str">
        <f>_xlfn.LET(_xlpm.mfcname,_xlfn.XLOOKUP(A63,'Data Set 2 - Vehicles'!$A$2:$A$158,'Data Set 2 - Vehicles'!$D$2:$D$158,"NF",0,-1),_xlpm.mdlname,_xlfn.XLOOKUP(A63,'Data Set 2 - Vehicles'!$A$2:$A$158,'Data Set 2 - Vehicles'!$E$2:$E$158,"NF",0,-1),_xlpm.vehcilename,_xlfn.CONCAT(_xlpm.mfcname," ",_xlpm.mdlname),IF(S63="Has No Vehicle","Has No Vehicle",IF(S63="Has Only One Vehicle","Has Only One Vehicle",IF(_xlpm.vehcilename="NF NF","Not Found",_xlpm.vehcilename))))</f>
        <v>Not Found</v>
      </c>
      <c r="U63" s="24" t="str">
        <f>_xlfn.LET(_xlpm.vserdate,_xlfn.XLOOKUP(A63,'Data Set 2 - Vehicles'!$A$2:$A$158,'Data Set 2 - Vehicles'!$O$2:$O$158,"NF",0,-1), IF(OR('Data Set 1'!S63="Has No Vehicle",'Data Set 1'!S63="Has Only One Vehicle"),'Data Set 1'!S63,_xlpm.vserdate))</f>
        <v>NF</v>
      </c>
      <c r="V63" s="1">
        <f>SUMIF('Data Set 2 - Vehicles'!$A$2:$A$158,'Data Set 1'!A63,'Data Set 2 - Vehicles'!$Q$2:$Q$158)</f>
        <v>0</v>
      </c>
      <c r="W63" s="5" t="str">
        <f>_xlfn.LET(_xlpm.maxdate,_xlfn.MAXIFS('Data Set 2 - Vehicles'!$O$2:$O$158,'Data Set 2 - Vehicles'!$A$2:$A$158,'Data Set 1'!A63),IF(_xlpm.maxdate=0,"",_xlpm.maxdate))</f>
        <v/>
      </c>
      <c r="X63" s="1" t="str">
        <f t="shared" ca="1" si="3"/>
        <v>No Service Record</v>
      </c>
      <c r="Y6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64" spans="1:25" ht="12.75" x14ac:dyDescent="0.35">
      <c r="A64" s="15">
        <v>1181</v>
      </c>
      <c r="B64" s="1" t="s">
        <v>727</v>
      </c>
      <c r="C64" s="1" t="s">
        <v>728</v>
      </c>
      <c r="D64" s="7"/>
      <c r="E64" s="1" t="s">
        <v>729</v>
      </c>
      <c r="F64" s="1" t="s">
        <v>730</v>
      </c>
      <c r="G64" s="11" t="s">
        <v>435</v>
      </c>
      <c r="H64" s="11">
        <v>94561</v>
      </c>
      <c r="I64" s="1" t="str">
        <f t="shared" si="0"/>
        <v>Marguerita Hiatt</v>
      </c>
      <c r="J64" s="1" t="str">
        <f t="shared" si="1"/>
        <v>Marguerita Hiatt</v>
      </c>
      <c r="K64" s="1" t="str">
        <f t="shared" si="2"/>
        <v>82</v>
      </c>
      <c r="L64" s="1" t="str">
        <f>VLOOKUP(A64,'Data Set 3 - Contacts'!$A$2:$F$136,5,FALSE)</f>
        <v>9256347158</v>
      </c>
      <c r="M64" s="1" t="str">
        <f>VLOOKUP(A64,'Data Set 3 - Contacts'!$A$2:$F$136,6,FALSE)</f>
        <v>9255418521</v>
      </c>
      <c r="N64" s="1" t="str">
        <f>VLOOKUP(A64,'Data Set 3 - Contacts'!$A$2:$F$136,4,FALSE)</f>
        <v>marguerita.hiatt@gmail.com</v>
      </c>
      <c r="O64" s="1">
        <f>_xlfn.XLOOKUP(A64,'Data Set 2 - Vehicles'!$A$2:$A$158,'Data Set 2 - Vehicles'!$B$2:$B$158,0,0,-1)</f>
        <v>1</v>
      </c>
      <c r="P64" s="1" t="str">
        <f>_xlfn.XLOOKUP(A64,'Data Set 2 - Vehicles'!$A$2:$A$158,'Data Set 2 - Vehicles'!$E$2:$E$158,"Not Found",0,1)</f>
        <v>Continental</v>
      </c>
      <c r="Q64" s="1" t="str">
        <f>IF(_xlfn.CONCAT(_xlfn.XLOOKUP(A64,'Data Set 2 - Vehicles'!$A$2:$A$158,'Data Set 2 - Vehicles'!$D$2:$D$158,"Not Found",0,1)," ",_xlfn.XLOOKUP(A64,'Data Set 2 - Vehicles'!$A$2:$A$158,'Data Set 2 - Vehicles'!$E$2:$E$158,"Not Found",0,1))="Not Found Not Found", "Not Found",_xlfn.CONCAT(_xlfn.XLOOKUP(A64,'Data Set 2 - Vehicles'!$A$2:$A$158,'Data Set 2 - Vehicles'!$D$2:$D$158,"Not Found",0,1)," ",_xlfn.XLOOKUP(A64,'Data Set 2 - Vehicles'!$A$2:$A$158,'Data Set 2 - Vehicles'!$E$2:$E$158,"Not Found",0,1)))</f>
        <v>Lincoln Continental</v>
      </c>
      <c r="R64" s="5">
        <f>_xlfn.XLOOKUP(A64,'Data Set 2 - Vehicles'!$A$2:$A$158,'Data Set 2 - Vehicles'!$O$2:$O$158,"",0,1)</f>
        <v>44046</v>
      </c>
      <c r="S64" s="1" t="str">
        <f>IF(_xlfn.XLOOKUP(A64,'Data Set 2 - Vehicles'!$A$2:$A$158,'Data Set 2 - Vehicles'!$E$2:$E$158,"Has No Vehicle",0,-1)=P64,"Has Only One Vehicle",_xlfn.XLOOKUP(A64,'Data Set 2 - Vehicles'!$A$2:$A$158,'Data Set 2 - Vehicles'!$E$2:$E$158,"Has No Vehcile",0,-1))</f>
        <v>Has Only One Vehicle</v>
      </c>
      <c r="T64" s="1" t="str">
        <f>_xlfn.LET(_xlpm.mfcname,_xlfn.XLOOKUP(A64,'Data Set 2 - Vehicles'!$A$2:$A$158,'Data Set 2 - Vehicles'!$D$2:$D$158,"NF",0,-1),_xlpm.mdlname,_xlfn.XLOOKUP(A64,'Data Set 2 - Vehicles'!$A$2:$A$158,'Data Set 2 - Vehicles'!$E$2:$E$158,"NF",0,-1),_xlpm.vehcilename,_xlfn.CONCAT(_xlpm.mfcname," ",_xlpm.mdlname),IF(S64="Has No Vehicle","Has No Vehicle",IF(S64="Has Only One Vehicle","Has Only One Vehicle",IF(_xlpm.vehcilename="NF NF","Not Found",_xlpm.vehcilename))))</f>
        <v>Has Only One Vehicle</v>
      </c>
      <c r="U64" s="24" t="str">
        <f>_xlfn.LET(_xlpm.vserdate,_xlfn.XLOOKUP(A64,'Data Set 2 - Vehicles'!$A$2:$A$158,'Data Set 2 - Vehicles'!$O$2:$O$158,"NF",0,-1), IF(OR('Data Set 1'!S64="Has No Vehicle",'Data Set 1'!S64="Has Only One Vehicle"),'Data Set 1'!S64,_xlpm.vserdate))</f>
        <v>Has Only One Vehicle</v>
      </c>
      <c r="V64" s="1">
        <f>SUMIF('Data Set 2 - Vehicles'!$A$2:$A$158,'Data Set 1'!A64,'Data Set 2 - Vehicles'!$Q$2:$Q$158)</f>
        <v>54105</v>
      </c>
      <c r="W64" s="5">
        <f>_xlfn.LET(_xlpm.maxdate,_xlfn.MAXIFS('Data Set 2 - Vehicles'!$O$2:$O$158,'Data Set 2 - Vehicles'!$A$2:$A$158,'Data Set 1'!A64),IF(_xlpm.maxdate=0,"",_xlpm.maxdate))</f>
        <v>44046</v>
      </c>
      <c r="X64" s="1" t="str">
        <f t="shared" ca="1" si="3"/>
        <v>InActive</v>
      </c>
      <c r="Y6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65" spans="1:25" ht="12.75" x14ac:dyDescent="0.35">
      <c r="A65" s="15">
        <v>1314</v>
      </c>
      <c r="B65" s="1"/>
      <c r="C65" s="1"/>
      <c r="D65" s="7" t="s">
        <v>731</v>
      </c>
      <c r="E65" s="1" t="s">
        <v>732</v>
      </c>
      <c r="F65" s="1" t="s">
        <v>599</v>
      </c>
      <c r="G65" s="11" t="s">
        <v>582</v>
      </c>
      <c r="H65" s="11">
        <v>44103</v>
      </c>
      <c r="I65" s="1" t="str">
        <f t="shared" si="0"/>
        <v xml:space="preserve"> </v>
      </c>
      <c r="J65" s="1" t="str">
        <f t="shared" si="1"/>
        <v>H A C Farm Lines Co Optv Assoc</v>
      </c>
      <c r="K65" s="1" t="str">
        <f t="shared" si="2"/>
        <v>2845</v>
      </c>
      <c r="L65" s="1" t="str">
        <f>VLOOKUP(A65,'Data Set 3 - Contacts'!$A$2:$F$136,5,FALSE)</f>
        <v>2169233715</v>
      </c>
      <c r="M65" s="1" t="str">
        <f>VLOOKUP(A65,'Data Set 3 - Contacts'!$A$2:$F$136,6,FALSE)</f>
        <v>2162709653</v>
      </c>
      <c r="N65" s="1" t="str">
        <f>VLOOKUP(A65,'Data Set 3 - Contacts'!$A$2:$F$136,4,FALSE)</f>
        <v>kattie@vonasek.org</v>
      </c>
      <c r="O65" s="1">
        <f>_xlfn.XLOOKUP(A65,'Data Set 2 - Vehicles'!$A$2:$A$158,'Data Set 2 - Vehicles'!$B$2:$B$158,0,0,-1)</f>
        <v>1</v>
      </c>
      <c r="P65" s="1" t="str">
        <f>_xlfn.XLOOKUP(A65,'Data Set 2 - Vehicles'!$A$2:$A$158,'Data Set 2 - Vehicles'!$E$2:$E$158,"Not Found",0,1)</f>
        <v>CLK Coupe</v>
      </c>
      <c r="Q65" s="1" t="str">
        <f>IF(_xlfn.CONCAT(_xlfn.XLOOKUP(A65,'Data Set 2 - Vehicles'!$A$2:$A$158,'Data Set 2 - Vehicles'!$D$2:$D$158,"Not Found",0,1)," ",_xlfn.XLOOKUP(A65,'Data Set 2 - Vehicles'!$A$2:$A$158,'Data Set 2 - Vehicles'!$E$2:$E$158,"Not Found",0,1))="Not Found Not Found", "Not Found",_xlfn.CONCAT(_xlfn.XLOOKUP(A65,'Data Set 2 - Vehicles'!$A$2:$A$158,'Data Set 2 - Vehicles'!$D$2:$D$158,"Not Found",0,1)," ",_xlfn.XLOOKUP(A65,'Data Set 2 - Vehicles'!$A$2:$A$158,'Data Set 2 - Vehicles'!$E$2:$E$158,"Not Found",0,1)))</f>
        <v>Mercedes-B CLK Coupe</v>
      </c>
      <c r="R65" s="5">
        <f>_xlfn.XLOOKUP(A65,'Data Set 2 - Vehicles'!$A$2:$A$158,'Data Set 2 - Vehicles'!$O$2:$O$158,"",0,1)</f>
        <v>40002</v>
      </c>
      <c r="S65" s="1" t="str">
        <f>IF(_xlfn.XLOOKUP(A65,'Data Set 2 - Vehicles'!$A$2:$A$158,'Data Set 2 - Vehicles'!$E$2:$E$158,"Has No Vehicle",0,-1)=P65,"Has Only One Vehicle",_xlfn.XLOOKUP(A65,'Data Set 2 - Vehicles'!$A$2:$A$158,'Data Set 2 - Vehicles'!$E$2:$E$158,"Has No Vehcile",0,-1))</f>
        <v>Has Only One Vehicle</v>
      </c>
      <c r="T65" s="1" t="str">
        <f>_xlfn.LET(_xlpm.mfcname,_xlfn.XLOOKUP(A65,'Data Set 2 - Vehicles'!$A$2:$A$158,'Data Set 2 - Vehicles'!$D$2:$D$158,"NF",0,-1),_xlpm.mdlname,_xlfn.XLOOKUP(A65,'Data Set 2 - Vehicles'!$A$2:$A$158,'Data Set 2 - Vehicles'!$E$2:$E$158,"NF",0,-1),_xlpm.vehcilename,_xlfn.CONCAT(_xlpm.mfcname," ",_xlpm.mdlname),IF(S65="Has No Vehicle","Has No Vehicle",IF(S65="Has Only One Vehicle","Has Only One Vehicle",IF(_xlpm.vehcilename="NF NF","Not Found",_xlpm.vehcilename))))</f>
        <v>Has Only One Vehicle</v>
      </c>
      <c r="U65" s="24" t="str">
        <f>_xlfn.LET(_xlpm.vserdate,_xlfn.XLOOKUP(A65,'Data Set 2 - Vehicles'!$A$2:$A$158,'Data Set 2 - Vehicles'!$O$2:$O$158,"NF",0,-1), IF(OR('Data Set 1'!S65="Has No Vehicle",'Data Set 1'!S65="Has Only One Vehicle"),'Data Set 1'!S65,_xlpm.vserdate))</f>
        <v>Has Only One Vehicle</v>
      </c>
      <c r="V65" s="1">
        <f>SUMIF('Data Set 2 - Vehicles'!$A$2:$A$158,'Data Set 1'!A65,'Data Set 2 - Vehicles'!$Q$2:$Q$158)</f>
        <v>83504</v>
      </c>
      <c r="W65" s="5">
        <f>_xlfn.LET(_xlpm.maxdate,_xlfn.MAXIFS('Data Set 2 - Vehicles'!$O$2:$O$158,'Data Set 2 - Vehicles'!$A$2:$A$158,'Data Set 1'!A65),IF(_xlpm.maxdate=0,"",_xlpm.maxdate))</f>
        <v>40002</v>
      </c>
      <c r="X65" s="1" t="str">
        <f t="shared" ca="1" si="3"/>
        <v>InActive</v>
      </c>
      <c r="Y6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66" spans="1:25" ht="12.75" x14ac:dyDescent="0.35">
      <c r="A66" s="15">
        <v>1417</v>
      </c>
      <c r="B66" s="1"/>
      <c r="C66" s="1"/>
      <c r="D66" s="7" t="s">
        <v>734</v>
      </c>
      <c r="E66" s="1" t="s">
        <v>735</v>
      </c>
      <c r="F66" s="1" t="s">
        <v>707</v>
      </c>
      <c r="G66" s="11" t="s">
        <v>495</v>
      </c>
      <c r="H66" s="11">
        <v>21202</v>
      </c>
      <c r="I66" s="1" t="str">
        <f t="shared" si="0"/>
        <v xml:space="preserve"> </v>
      </c>
      <c r="J66" s="1" t="str">
        <f t="shared" si="1"/>
        <v>Harris Corporation</v>
      </c>
      <c r="K66" s="1" t="str">
        <f t="shared" si="2"/>
        <v>4</v>
      </c>
      <c r="L66" s="1" t="str">
        <f>VLOOKUP(A66,'Data Set 3 - Contacts'!$A$2:$F$136,5,FALSE)</f>
        <v>4108907866</v>
      </c>
      <c r="M66" s="1" t="str">
        <f>VLOOKUP(A66,'Data Set 3 - Contacts'!$A$2:$F$136,6,FALSE)</f>
        <v>4104294888</v>
      </c>
      <c r="N66" s="1" t="str">
        <f>VLOOKUP(A66,'Data Set 3 - Contacts'!$A$2:$F$136,4,FALSE)</f>
        <v>eden_jayson@yahoo.com</v>
      </c>
      <c r="O66" s="1">
        <f>_xlfn.XLOOKUP(A66,'Data Set 2 - Vehicles'!$A$2:$A$158,'Data Set 2 - Vehicles'!$B$2:$B$158,0,0,-1)</f>
        <v>1</v>
      </c>
      <c r="P66" s="1" t="str">
        <f>_xlfn.XLOOKUP(A66,'Data Set 2 - Vehicles'!$A$2:$A$158,'Data Set 2 - Vehicles'!$E$2:$E$158,"Not Found",0,1)</f>
        <v>Sebring Coupe</v>
      </c>
      <c r="Q66" s="1" t="str">
        <f>IF(_xlfn.CONCAT(_xlfn.XLOOKUP(A66,'Data Set 2 - Vehicles'!$A$2:$A$158,'Data Set 2 - Vehicles'!$D$2:$D$158,"Not Found",0,1)," ",_xlfn.XLOOKUP(A66,'Data Set 2 - Vehicles'!$A$2:$A$158,'Data Set 2 - Vehicles'!$E$2:$E$158,"Not Found",0,1))="Not Found Not Found", "Not Found",_xlfn.CONCAT(_xlfn.XLOOKUP(A66,'Data Set 2 - Vehicles'!$A$2:$A$158,'Data Set 2 - Vehicles'!$D$2:$D$158,"Not Found",0,1)," ",_xlfn.XLOOKUP(A66,'Data Set 2 - Vehicles'!$A$2:$A$158,'Data Set 2 - Vehicles'!$E$2:$E$158,"Not Found",0,1)))</f>
        <v>Chrysler Sebring Coupe</v>
      </c>
      <c r="R66" s="5">
        <f>_xlfn.XLOOKUP(A66,'Data Set 2 - Vehicles'!$A$2:$A$158,'Data Set 2 - Vehicles'!$O$2:$O$158,"",0,1)</f>
        <v>39829</v>
      </c>
      <c r="S66" s="1" t="str">
        <f>IF(_xlfn.XLOOKUP(A66,'Data Set 2 - Vehicles'!$A$2:$A$158,'Data Set 2 - Vehicles'!$E$2:$E$158,"Has No Vehicle",0,-1)=P66,"Has Only One Vehicle",_xlfn.XLOOKUP(A66,'Data Set 2 - Vehicles'!$A$2:$A$158,'Data Set 2 - Vehicles'!$E$2:$E$158,"Has No Vehcile",0,-1))</f>
        <v>Has Only One Vehicle</v>
      </c>
      <c r="T66" s="1" t="str">
        <f>_xlfn.LET(_xlpm.mfcname,_xlfn.XLOOKUP(A66,'Data Set 2 - Vehicles'!$A$2:$A$158,'Data Set 2 - Vehicles'!$D$2:$D$158,"NF",0,-1),_xlpm.mdlname,_xlfn.XLOOKUP(A66,'Data Set 2 - Vehicles'!$A$2:$A$158,'Data Set 2 - Vehicles'!$E$2:$E$158,"NF",0,-1),_xlpm.vehcilename,_xlfn.CONCAT(_xlpm.mfcname," ",_xlpm.mdlname),IF(S66="Has No Vehicle","Has No Vehicle",IF(S66="Has Only One Vehicle","Has Only One Vehicle",IF(_xlpm.vehcilename="NF NF","Not Found",_xlpm.vehcilename))))</f>
        <v>Has Only One Vehicle</v>
      </c>
      <c r="U66" s="24" t="str">
        <f>_xlfn.LET(_xlpm.vserdate,_xlfn.XLOOKUP(A66,'Data Set 2 - Vehicles'!$A$2:$A$158,'Data Set 2 - Vehicles'!$O$2:$O$158,"NF",0,-1), IF(OR('Data Set 1'!S66="Has No Vehicle",'Data Set 1'!S66="Has Only One Vehicle"),'Data Set 1'!S66,_xlpm.vserdate))</f>
        <v>Has Only One Vehicle</v>
      </c>
      <c r="V66" s="1">
        <f>SUMIF('Data Set 2 - Vehicles'!$A$2:$A$158,'Data Set 1'!A66,'Data Set 2 - Vehicles'!$Q$2:$Q$158)</f>
        <v>105039</v>
      </c>
      <c r="W66" s="5">
        <f>_xlfn.LET(_xlpm.maxdate,_xlfn.MAXIFS('Data Set 2 - Vehicles'!$O$2:$O$158,'Data Set 2 - Vehicles'!$A$2:$A$158,'Data Set 1'!A66),IF(_xlpm.maxdate=0,"",_xlpm.maxdate))</f>
        <v>39829</v>
      </c>
      <c r="X66" s="1" t="str">
        <f t="shared" ca="1" si="3"/>
        <v>InActive</v>
      </c>
      <c r="Y6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67" spans="1:25" ht="12.75" x14ac:dyDescent="0.35">
      <c r="A67" s="17">
        <v>1332</v>
      </c>
      <c r="B67" s="1" t="s">
        <v>737</v>
      </c>
      <c r="C67" s="1" t="s">
        <v>738</v>
      </c>
      <c r="D67" s="7"/>
      <c r="E67" s="1" t="s">
        <v>739</v>
      </c>
      <c r="F67" s="1" t="s">
        <v>740</v>
      </c>
      <c r="G67" s="11" t="s">
        <v>405</v>
      </c>
      <c r="H67" s="11">
        <v>13850</v>
      </c>
      <c r="I67" s="1" t="str">
        <f t="shared" si="0"/>
        <v>Kirk Herritt</v>
      </c>
      <c r="J67" s="1" t="str">
        <f t="shared" si="1"/>
        <v>Kirk Herritt</v>
      </c>
      <c r="K67" s="1" t="str">
        <f t="shared" si="2"/>
        <v>88</v>
      </c>
      <c r="L67" s="1" t="str">
        <f>VLOOKUP(A67,'Data Set 3 - Contacts'!$A$2:$F$136,5,FALSE)</f>
        <v>6074073716</v>
      </c>
      <c r="M67" s="1" t="str">
        <f>VLOOKUP(A67,'Data Set 3 - Contacts'!$A$2:$F$136,6,FALSE)</f>
        <v>6073507690</v>
      </c>
      <c r="N67" s="1" t="str">
        <f>VLOOKUP(A67,'Data Set 3 - Contacts'!$A$2:$F$136,4,FALSE)</f>
        <v>kirk.herritt@aol.com</v>
      </c>
      <c r="O67" s="1">
        <f>_xlfn.XLOOKUP(A67,'Data Set 2 - Vehicles'!$A$2:$A$158,'Data Set 2 - Vehicles'!$B$2:$B$158,0,0,-1)</f>
        <v>0</v>
      </c>
      <c r="P67" s="1" t="str">
        <f>_xlfn.XLOOKUP(A67,'Data Set 2 - Vehicles'!$A$2:$A$158,'Data Set 2 - Vehicles'!$E$2:$E$158,"Not Found",0,1)</f>
        <v>Not Found</v>
      </c>
      <c r="Q67" s="1" t="str">
        <f>IF(_xlfn.CONCAT(_xlfn.XLOOKUP(A67,'Data Set 2 - Vehicles'!$A$2:$A$158,'Data Set 2 - Vehicles'!$D$2:$D$158,"Not Found",0,1)," ",_xlfn.XLOOKUP(A67,'Data Set 2 - Vehicles'!$A$2:$A$158,'Data Set 2 - Vehicles'!$E$2:$E$158,"Not Found",0,1))="Not Found Not Found", "Not Found",_xlfn.CONCAT(_xlfn.XLOOKUP(A67,'Data Set 2 - Vehicles'!$A$2:$A$158,'Data Set 2 - Vehicles'!$D$2:$D$158,"Not Found",0,1)," ",_xlfn.XLOOKUP(A67,'Data Set 2 - Vehicles'!$A$2:$A$158,'Data Set 2 - Vehicles'!$E$2:$E$158,"Not Found",0,1)))</f>
        <v>Not Found</v>
      </c>
      <c r="R67" s="5" t="str">
        <f>_xlfn.XLOOKUP(A67,'Data Set 2 - Vehicles'!$A$2:$A$158,'Data Set 2 - Vehicles'!$O$2:$O$158,"",0,1)</f>
        <v/>
      </c>
      <c r="S67" s="1" t="str">
        <f>IF(_xlfn.XLOOKUP(A67,'Data Set 2 - Vehicles'!$A$2:$A$158,'Data Set 2 - Vehicles'!$E$2:$E$158,"Has No Vehicle",0,-1)=P67,"Has Only One Vehicle",_xlfn.XLOOKUP(A67,'Data Set 2 - Vehicles'!$A$2:$A$158,'Data Set 2 - Vehicles'!$E$2:$E$158,"Has No Vehcile",0,-1))</f>
        <v>Has No Vehcile</v>
      </c>
      <c r="T67" s="1" t="str">
        <f>_xlfn.LET(_xlpm.mfcname,_xlfn.XLOOKUP(A67,'Data Set 2 - Vehicles'!$A$2:$A$158,'Data Set 2 - Vehicles'!$D$2:$D$158,"NF",0,-1),_xlpm.mdlname,_xlfn.XLOOKUP(A67,'Data Set 2 - Vehicles'!$A$2:$A$158,'Data Set 2 - Vehicles'!$E$2:$E$158,"NF",0,-1),_xlpm.vehcilename,_xlfn.CONCAT(_xlpm.mfcname," ",_xlpm.mdlname),IF(S67="Has No Vehicle","Has No Vehicle",IF(S67="Has Only One Vehicle","Has Only One Vehicle",IF(_xlpm.vehcilename="NF NF","Not Found",_xlpm.vehcilename))))</f>
        <v>Not Found</v>
      </c>
      <c r="U67" s="24" t="str">
        <f>_xlfn.LET(_xlpm.vserdate,_xlfn.XLOOKUP(A67,'Data Set 2 - Vehicles'!$A$2:$A$158,'Data Set 2 - Vehicles'!$O$2:$O$158,"NF",0,-1), IF(OR('Data Set 1'!S67="Has No Vehicle",'Data Set 1'!S67="Has Only One Vehicle"),'Data Set 1'!S67,_xlpm.vserdate))</f>
        <v>NF</v>
      </c>
      <c r="V67" s="1">
        <f>SUMIF('Data Set 2 - Vehicles'!$A$2:$A$158,'Data Set 1'!A67,'Data Set 2 - Vehicles'!$Q$2:$Q$158)</f>
        <v>0</v>
      </c>
      <c r="W67" s="5" t="str">
        <f>_xlfn.LET(_xlpm.maxdate,_xlfn.MAXIFS('Data Set 2 - Vehicles'!$O$2:$O$158,'Data Set 2 - Vehicles'!$A$2:$A$158,'Data Set 1'!A67),IF(_xlpm.maxdate=0,"",_xlpm.maxdate))</f>
        <v/>
      </c>
      <c r="X67" s="1" t="str">
        <f t="shared" ca="1" si="3"/>
        <v>No Service Record</v>
      </c>
      <c r="Y6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68" spans="1:25" ht="12.75" x14ac:dyDescent="0.35">
      <c r="A68" s="17">
        <v>1067</v>
      </c>
      <c r="B68" s="1" t="s">
        <v>741</v>
      </c>
      <c r="C68" s="1" t="s">
        <v>743</v>
      </c>
      <c r="D68" s="7" t="s">
        <v>744</v>
      </c>
      <c r="E68" s="1" t="s">
        <v>745</v>
      </c>
      <c r="F68" s="1" t="s">
        <v>683</v>
      </c>
      <c r="G68" s="11" t="s">
        <v>684</v>
      </c>
      <c r="H68" s="11">
        <v>99515</v>
      </c>
      <c r="I68" s="1" t="str">
        <f t="shared" si="0"/>
        <v>Penney Weight</v>
      </c>
      <c r="J68" s="1" t="str">
        <f t="shared" si="1"/>
        <v>Penney Weight</v>
      </c>
      <c r="K68" s="1" t="str">
        <f t="shared" si="2"/>
        <v>18</v>
      </c>
      <c r="L68" s="1" t="str">
        <f>VLOOKUP(A68,'Data Set 3 - Contacts'!$A$2:$F$136,5,FALSE)</f>
        <v>9077979628</v>
      </c>
      <c r="M68" s="1" t="str">
        <f>VLOOKUP(A68,'Data Set 3 - Contacts'!$A$2:$F$136,6,FALSE)</f>
        <v/>
      </c>
      <c r="N68" s="1" t="str">
        <f>VLOOKUP(A68,'Data Set 3 - Contacts'!$A$2:$F$136,4,FALSE)</f>
        <v>penney_weight@aol.com</v>
      </c>
      <c r="O68" s="1">
        <f>_xlfn.XLOOKUP(A68,'Data Set 2 - Vehicles'!$A$2:$A$158,'Data Set 2 - Vehicles'!$B$2:$B$158,0,0,-1)</f>
        <v>1</v>
      </c>
      <c r="P68" s="1" t="str">
        <f>_xlfn.XLOOKUP(A68,'Data Set 2 - Vehicles'!$A$2:$A$158,'Data Set 2 - Vehicles'!$E$2:$E$158,"Not Found",0,1)</f>
        <v>Eldorado</v>
      </c>
      <c r="Q68" s="1" t="str">
        <f>IF(_xlfn.CONCAT(_xlfn.XLOOKUP(A68,'Data Set 2 - Vehicles'!$A$2:$A$158,'Data Set 2 - Vehicles'!$D$2:$D$158,"Not Found",0,1)," ",_xlfn.XLOOKUP(A68,'Data Set 2 - Vehicles'!$A$2:$A$158,'Data Set 2 - Vehicles'!$E$2:$E$158,"Not Found",0,1))="Not Found Not Found", "Not Found",_xlfn.CONCAT(_xlfn.XLOOKUP(A68,'Data Set 2 - Vehicles'!$A$2:$A$158,'Data Set 2 - Vehicles'!$D$2:$D$158,"Not Found",0,1)," ",_xlfn.XLOOKUP(A68,'Data Set 2 - Vehicles'!$A$2:$A$158,'Data Set 2 - Vehicles'!$E$2:$E$158,"Not Found",0,1)))</f>
        <v>Cadillac Eldorado</v>
      </c>
      <c r="R68" s="5">
        <f>_xlfn.XLOOKUP(A68,'Data Set 2 - Vehicles'!$A$2:$A$158,'Data Set 2 - Vehicles'!$O$2:$O$158,"",0,1)</f>
        <v>39413</v>
      </c>
      <c r="S68" s="1" t="str">
        <f>IF(_xlfn.XLOOKUP(A68,'Data Set 2 - Vehicles'!$A$2:$A$158,'Data Set 2 - Vehicles'!$E$2:$E$158,"Has No Vehicle",0,-1)=P68,"Has Only One Vehicle",_xlfn.XLOOKUP(A68,'Data Set 2 - Vehicles'!$A$2:$A$158,'Data Set 2 - Vehicles'!$E$2:$E$158,"Has No Vehcile",0,-1))</f>
        <v>Has Only One Vehicle</v>
      </c>
      <c r="T68" s="1" t="str">
        <f>_xlfn.LET(_xlpm.mfcname,_xlfn.XLOOKUP(A68,'Data Set 2 - Vehicles'!$A$2:$A$158,'Data Set 2 - Vehicles'!$D$2:$D$158,"NF",0,-1),_xlpm.mdlname,_xlfn.XLOOKUP(A68,'Data Set 2 - Vehicles'!$A$2:$A$158,'Data Set 2 - Vehicles'!$E$2:$E$158,"NF",0,-1),_xlpm.vehcilename,_xlfn.CONCAT(_xlpm.mfcname," ",_xlpm.mdlname),IF(S68="Has No Vehicle","Has No Vehicle",IF(S68="Has Only One Vehicle","Has Only One Vehicle",IF(_xlpm.vehcilename="NF NF","Not Found",_xlpm.vehcilename))))</f>
        <v>Has Only One Vehicle</v>
      </c>
      <c r="U68" s="24" t="str">
        <f>_xlfn.LET(_xlpm.vserdate,_xlfn.XLOOKUP(A68,'Data Set 2 - Vehicles'!$A$2:$A$158,'Data Set 2 - Vehicles'!$O$2:$O$158,"NF",0,-1), IF(OR('Data Set 1'!S68="Has No Vehicle",'Data Set 1'!S68="Has Only One Vehicle"),'Data Set 1'!S68,_xlpm.vserdate))</f>
        <v>Has Only One Vehicle</v>
      </c>
      <c r="V68" s="1">
        <f>SUMIF('Data Set 2 - Vehicles'!$A$2:$A$158,'Data Set 1'!A68,'Data Set 2 - Vehicles'!$Q$2:$Q$158)</f>
        <v>155361</v>
      </c>
      <c r="W68" s="5">
        <f>_xlfn.LET(_xlpm.maxdate,_xlfn.MAXIFS('Data Set 2 - Vehicles'!$O$2:$O$158,'Data Set 2 - Vehicles'!$A$2:$A$158,'Data Set 1'!A68),IF(_xlpm.maxdate=0,"",_xlpm.maxdate))</f>
        <v>39413</v>
      </c>
      <c r="X68" s="1" t="str">
        <f t="shared" ca="1" si="3"/>
        <v>InActive</v>
      </c>
      <c r="Y6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69" spans="1:25" ht="12.75" x14ac:dyDescent="0.35">
      <c r="A69" s="15">
        <v>1323</v>
      </c>
      <c r="B69" s="1" t="s">
        <v>746</v>
      </c>
      <c r="C69" s="1" t="s">
        <v>747</v>
      </c>
      <c r="D69" s="7"/>
      <c r="E69" s="1" t="s">
        <v>748</v>
      </c>
      <c r="F69" s="1" t="s">
        <v>678</v>
      </c>
      <c r="G69" s="11" t="s">
        <v>660</v>
      </c>
      <c r="H69" s="11">
        <v>78204</v>
      </c>
      <c r="I69" s="1" t="str">
        <f t="shared" si="0"/>
        <v>Lorean Martabano</v>
      </c>
      <c r="J69" s="1" t="str">
        <f t="shared" si="1"/>
        <v>Lorean Martabano</v>
      </c>
      <c r="K69" s="1" t="str">
        <f t="shared" si="2"/>
        <v>85092</v>
      </c>
      <c r="L69" s="1" t="str">
        <f>VLOOKUP(A69,'Data Set 3 - Contacts'!$A$2:$F$136,5,FALSE)</f>
        <v>2108564979</v>
      </c>
      <c r="M69" s="1" t="str">
        <f>VLOOKUP(A69,'Data Set 3 - Contacts'!$A$2:$F$136,6,FALSE)</f>
        <v>2106342447</v>
      </c>
      <c r="N69" s="1" t="str">
        <f>VLOOKUP(A69,'Data Set 3 - Contacts'!$A$2:$F$136,4,FALSE)</f>
        <v>lorean.martabano@hotmail.com</v>
      </c>
      <c r="O69" s="1">
        <f>_xlfn.XLOOKUP(A69,'Data Set 2 - Vehicles'!$A$2:$A$158,'Data Set 2 - Vehicles'!$B$2:$B$158,0,0,-1)</f>
        <v>1</v>
      </c>
      <c r="P69" s="1" t="str">
        <f>_xlfn.XLOOKUP(A69,'Data Set 2 - Vehicles'!$A$2:$A$158,'Data Set 2 - Vehicles'!$E$2:$E$158,"Not Found",0,1)</f>
        <v>Ram Van</v>
      </c>
      <c r="Q69" s="1" t="str">
        <f>IF(_xlfn.CONCAT(_xlfn.XLOOKUP(A69,'Data Set 2 - Vehicles'!$A$2:$A$158,'Data Set 2 - Vehicles'!$D$2:$D$158,"Not Found",0,1)," ",_xlfn.XLOOKUP(A69,'Data Set 2 - Vehicles'!$A$2:$A$158,'Data Set 2 - Vehicles'!$E$2:$E$158,"Not Found",0,1))="Not Found Not Found", "Not Found",_xlfn.CONCAT(_xlfn.XLOOKUP(A69,'Data Set 2 - Vehicles'!$A$2:$A$158,'Data Set 2 - Vehicles'!$D$2:$D$158,"Not Found",0,1)," ",_xlfn.XLOOKUP(A69,'Data Set 2 - Vehicles'!$A$2:$A$158,'Data Set 2 - Vehicles'!$E$2:$E$158,"Not Found",0,1)))</f>
        <v>Dodge Ram Van</v>
      </c>
      <c r="R69" s="5">
        <f>_xlfn.XLOOKUP(A69,'Data Set 2 - Vehicles'!$A$2:$A$158,'Data Set 2 - Vehicles'!$O$2:$O$158,"",0,1)</f>
        <v>45499</v>
      </c>
      <c r="S69" s="1" t="str">
        <f>IF(_xlfn.XLOOKUP(A69,'Data Set 2 - Vehicles'!$A$2:$A$158,'Data Set 2 - Vehicles'!$E$2:$E$158,"Has No Vehicle",0,-1)=P69,"Has Only One Vehicle",_xlfn.XLOOKUP(A69,'Data Set 2 - Vehicles'!$A$2:$A$158,'Data Set 2 - Vehicles'!$E$2:$E$158,"Has No Vehcile",0,-1))</f>
        <v>Has Only One Vehicle</v>
      </c>
      <c r="T69" s="1" t="str">
        <f>_xlfn.LET(_xlpm.mfcname,_xlfn.XLOOKUP(A69,'Data Set 2 - Vehicles'!$A$2:$A$158,'Data Set 2 - Vehicles'!$D$2:$D$158,"NF",0,-1),_xlpm.mdlname,_xlfn.XLOOKUP(A69,'Data Set 2 - Vehicles'!$A$2:$A$158,'Data Set 2 - Vehicles'!$E$2:$E$158,"NF",0,-1),_xlpm.vehcilename,_xlfn.CONCAT(_xlpm.mfcname," ",_xlpm.mdlname),IF(S69="Has No Vehicle","Has No Vehicle",IF(S69="Has Only One Vehicle","Has Only One Vehicle",IF(_xlpm.vehcilename="NF NF","Not Found",_xlpm.vehcilename))))</f>
        <v>Has Only One Vehicle</v>
      </c>
      <c r="U69" s="24" t="str">
        <f>_xlfn.LET(_xlpm.vserdate,_xlfn.XLOOKUP(A69,'Data Set 2 - Vehicles'!$A$2:$A$158,'Data Set 2 - Vehicles'!$O$2:$O$158,"NF",0,-1), IF(OR('Data Set 1'!S69="Has No Vehicle",'Data Set 1'!S69="Has Only One Vehicle"),'Data Set 1'!S69,_xlpm.vserdate))</f>
        <v>Has Only One Vehicle</v>
      </c>
      <c r="V69" s="1">
        <f>SUMIF('Data Set 2 - Vehicles'!$A$2:$A$158,'Data Set 1'!A69,'Data Set 2 - Vehicles'!$Q$2:$Q$158)</f>
        <v>99624</v>
      </c>
      <c r="W69" s="5">
        <f>_xlfn.LET(_xlpm.maxdate,_xlfn.MAXIFS('Data Set 2 - Vehicles'!$O$2:$O$158,'Data Set 2 - Vehicles'!$A$2:$A$158,'Data Set 1'!A69),IF(_xlpm.maxdate=0,"",_xlpm.maxdate))</f>
        <v>45499</v>
      </c>
      <c r="X69" s="1" t="str">
        <f t="shared" ca="1" si="3"/>
        <v>Active</v>
      </c>
      <c r="Y6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70" spans="1:25" ht="12.75" x14ac:dyDescent="0.35">
      <c r="A70" s="15">
        <v>1074</v>
      </c>
      <c r="B70" s="1"/>
      <c r="C70" s="1"/>
      <c r="D70" s="7" t="s">
        <v>750</v>
      </c>
      <c r="E70" s="1" t="s">
        <v>751</v>
      </c>
      <c r="F70" s="1" t="s">
        <v>752</v>
      </c>
      <c r="G70" s="11" t="s">
        <v>435</v>
      </c>
      <c r="H70" s="11">
        <v>94520</v>
      </c>
      <c r="I70" s="1" t="str">
        <f t="shared" si="0"/>
        <v xml:space="preserve"> </v>
      </c>
      <c r="J70" s="1" t="str">
        <f t="shared" si="1"/>
        <v>H Lee Leonard Attorney At Law</v>
      </c>
      <c r="K70" s="1" t="str">
        <f t="shared" si="2"/>
        <v>20932</v>
      </c>
      <c r="L70" s="1" t="str">
        <f>VLOOKUP(A70,'Data Set 3 - Contacts'!$A$2:$F$136,5,FALSE)</f>
        <v>9256473298</v>
      </c>
      <c r="M70" s="1" t="str">
        <f>VLOOKUP(A70,'Data Set 3 - Contacts'!$A$2:$F$136,6,FALSE)</f>
        <v>9255227798</v>
      </c>
      <c r="N70" s="1" t="str">
        <f>VLOOKUP(A70,'Data Set 3 - Contacts'!$A$2:$F$136,4,FALSE)</f>
        <v>micaela_rhymes@gmail.com</v>
      </c>
      <c r="O70" s="1">
        <f>_xlfn.XLOOKUP(A70,'Data Set 2 - Vehicles'!$A$2:$A$158,'Data Set 2 - Vehicles'!$B$2:$B$158,0,0,-1)</f>
        <v>1</v>
      </c>
      <c r="P70" s="1" t="str">
        <f>_xlfn.XLOOKUP(A70,'Data Set 2 - Vehicles'!$A$2:$A$158,'Data Set 2 - Vehicles'!$E$2:$E$158,"Not Found",0,1)</f>
        <v>Town car</v>
      </c>
      <c r="Q70" s="1" t="str">
        <f>IF(_xlfn.CONCAT(_xlfn.XLOOKUP(A70,'Data Set 2 - Vehicles'!$A$2:$A$158,'Data Set 2 - Vehicles'!$D$2:$D$158,"Not Found",0,1)," ",_xlfn.XLOOKUP(A70,'Data Set 2 - Vehicles'!$A$2:$A$158,'Data Set 2 - Vehicles'!$E$2:$E$158,"Not Found",0,1))="Not Found Not Found", "Not Found",_xlfn.CONCAT(_xlfn.XLOOKUP(A70,'Data Set 2 - Vehicles'!$A$2:$A$158,'Data Set 2 - Vehicles'!$D$2:$D$158,"Not Found",0,1)," ",_xlfn.XLOOKUP(A70,'Data Set 2 - Vehicles'!$A$2:$A$158,'Data Set 2 - Vehicles'!$E$2:$E$158,"Not Found",0,1)))</f>
        <v>Lincoln Town car</v>
      </c>
      <c r="R70" s="5">
        <f>_xlfn.XLOOKUP(A70,'Data Set 2 - Vehicles'!$A$2:$A$158,'Data Set 2 - Vehicles'!$O$2:$O$158,"",0,1)</f>
        <v>40698</v>
      </c>
      <c r="S70" s="1" t="str">
        <f>IF(_xlfn.XLOOKUP(A70,'Data Set 2 - Vehicles'!$A$2:$A$158,'Data Set 2 - Vehicles'!$E$2:$E$158,"Has No Vehicle",0,-1)=P70,"Has Only One Vehicle",_xlfn.XLOOKUP(A70,'Data Set 2 - Vehicles'!$A$2:$A$158,'Data Set 2 - Vehicles'!$E$2:$E$158,"Has No Vehcile",0,-1))</f>
        <v>Has Only One Vehicle</v>
      </c>
      <c r="T70" s="1" t="str">
        <f>_xlfn.LET(_xlpm.mfcname,_xlfn.XLOOKUP(A70,'Data Set 2 - Vehicles'!$A$2:$A$158,'Data Set 2 - Vehicles'!$D$2:$D$158,"NF",0,-1),_xlpm.mdlname,_xlfn.XLOOKUP(A70,'Data Set 2 - Vehicles'!$A$2:$A$158,'Data Set 2 - Vehicles'!$E$2:$E$158,"NF",0,-1),_xlpm.vehcilename,_xlfn.CONCAT(_xlpm.mfcname," ",_xlpm.mdlname),IF(S70="Has No Vehicle","Has No Vehicle",IF(S70="Has Only One Vehicle","Has Only One Vehicle",IF(_xlpm.vehcilename="NF NF","Not Found",_xlpm.vehcilename))))</f>
        <v>Has Only One Vehicle</v>
      </c>
      <c r="U70" s="24" t="str">
        <f>_xlfn.LET(_xlpm.vserdate,_xlfn.XLOOKUP(A70,'Data Set 2 - Vehicles'!$A$2:$A$158,'Data Set 2 - Vehicles'!$O$2:$O$158,"NF",0,-1), IF(OR('Data Set 1'!S70="Has No Vehicle",'Data Set 1'!S70="Has Only One Vehicle"),'Data Set 1'!S70,_xlpm.vserdate))</f>
        <v>Has Only One Vehicle</v>
      </c>
      <c r="V70" s="1">
        <f>SUMIF('Data Set 2 - Vehicles'!$A$2:$A$158,'Data Set 1'!A70,'Data Set 2 - Vehicles'!$Q$2:$Q$158)</f>
        <v>232187</v>
      </c>
      <c r="W70" s="5">
        <f>_xlfn.LET(_xlpm.maxdate,_xlfn.MAXIFS('Data Set 2 - Vehicles'!$O$2:$O$158,'Data Set 2 - Vehicles'!$A$2:$A$158,'Data Set 1'!A70),IF(_xlpm.maxdate=0,"",_xlpm.maxdate))</f>
        <v>40698</v>
      </c>
      <c r="X70" s="1" t="str">
        <f t="shared" ca="1" si="3"/>
        <v>InActive</v>
      </c>
      <c r="Y7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71" spans="1:25" ht="12.75" x14ac:dyDescent="0.35">
      <c r="A71" s="15">
        <v>1134</v>
      </c>
      <c r="B71" s="1"/>
      <c r="C71" s="1"/>
      <c r="D71" s="7" t="s">
        <v>754</v>
      </c>
      <c r="E71" s="1" t="s">
        <v>755</v>
      </c>
      <c r="F71" s="1" t="s">
        <v>756</v>
      </c>
      <c r="G71" s="11" t="s">
        <v>419</v>
      </c>
      <c r="H71" s="11">
        <v>8201</v>
      </c>
      <c r="I71" s="1" t="str">
        <f t="shared" si="0"/>
        <v xml:space="preserve"> </v>
      </c>
      <c r="J71" s="1" t="str">
        <f t="shared" si="1"/>
        <v>Honey Bee Breeding Genetics &amp;</v>
      </c>
      <c r="K71" s="1" t="str">
        <f t="shared" si="2"/>
        <v>9387</v>
      </c>
      <c r="L71" s="1" t="str">
        <f>VLOOKUP(A71,'Data Set 3 - Contacts'!$A$2:$F$136,5,FALSE)</f>
        <v>6095243586</v>
      </c>
      <c r="M71" s="1" t="str">
        <f>VLOOKUP(A71,'Data Set 3 - Contacts'!$A$2:$F$136,6,FALSE)</f>
        <v>6092348376</v>
      </c>
      <c r="N71" s="1" t="str">
        <f>VLOOKUP(A71,'Data Set 3 - Contacts'!$A$2:$F$136,4,FALSE)</f>
        <v>thurman.manno@yahoo.com</v>
      </c>
      <c r="O71" s="1">
        <f>_xlfn.XLOOKUP(A71,'Data Set 2 - Vehicles'!$A$2:$A$158,'Data Set 2 - Vehicles'!$B$2:$B$158,0,0,-1)</f>
        <v>1</v>
      </c>
      <c r="P71" s="1" t="str">
        <f>_xlfn.XLOOKUP(A71,'Data Set 2 - Vehicles'!$A$2:$A$158,'Data Set 2 - Vehicles'!$E$2:$E$158,"Not Found",0,1)</f>
        <v>Prizm</v>
      </c>
      <c r="Q71" s="1" t="str">
        <f>IF(_xlfn.CONCAT(_xlfn.XLOOKUP(A71,'Data Set 2 - Vehicles'!$A$2:$A$158,'Data Set 2 - Vehicles'!$D$2:$D$158,"Not Found",0,1)," ",_xlfn.XLOOKUP(A71,'Data Set 2 - Vehicles'!$A$2:$A$158,'Data Set 2 - Vehicles'!$E$2:$E$158,"Not Found",0,1))="Not Found Not Found", "Not Found",_xlfn.CONCAT(_xlfn.XLOOKUP(A71,'Data Set 2 - Vehicles'!$A$2:$A$158,'Data Set 2 - Vehicles'!$D$2:$D$158,"Not Found",0,1)," ",_xlfn.XLOOKUP(A71,'Data Set 2 - Vehicles'!$A$2:$A$158,'Data Set 2 - Vehicles'!$E$2:$E$158,"Not Found",0,1)))</f>
        <v>Chevrolet Prizm</v>
      </c>
      <c r="R71" s="5">
        <f>_xlfn.XLOOKUP(A71,'Data Set 2 - Vehicles'!$A$2:$A$158,'Data Set 2 - Vehicles'!$O$2:$O$158,"",0,1)</f>
        <v>42258</v>
      </c>
      <c r="S71" s="1" t="str">
        <f>IF(_xlfn.XLOOKUP(A71,'Data Set 2 - Vehicles'!$A$2:$A$158,'Data Set 2 - Vehicles'!$E$2:$E$158,"Has No Vehicle",0,-1)=P71,"Has Only One Vehicle",_xlfn.XLOOKUP(A71,'Data Set 2 - Vehicles'!$A$2:$A$158,'Data Set 2 - Vehicles'!$E$2:$E$158,"Has No Vehcile",0,-1))</f>
        <v>Has Only One Vehicle</v>
      </c>
      <c r="T71" s="1" t="str">
        <f>_xlfn.LET(_xlpm.mfcname,_xlfn.XLOOKUP(A71,'Data Set 2 - Vehicles'!$A$2:$A$158,'Data Set 2 - Vehicles'!$D$2:$D$158,"NF",0,-1),_xlpm.mdlname,_xlfn.XLOOKUP(A71,'Data Set 2 - Vehicles'!$A$2:$A$158,'Data Set 2 - Vehicles'!$E$2:$E$158,"NF",0,-1),_xlpm.vehcilename,_xlfn.CONCAT(_xlpm.mfcname," ",_xlpm.mdlname),IF(S71="Has No Vehicle","Has No Vehicle",IF(S71="Has Only One Vehicle","Has Only One Vehicle",IF(_xlpm.vehcilename="NF NF","Not Found",_xlpm.vehcilename))))</f>
        <v>Has Only One Vehicle</v>
      </c>
      <c r="U71" s="24" t="str">
        <f>_xlfn.LET(_xlpm.vserdate,_xlfn.XLOOKUP(A71,'Data Set 2 - Vehicles'!$A$2:$A$158,'Data Set 2 - Vehicles'!$O$2:$O$158,"NF",0,-1), IF(OR('Data Set 1'!S71="Has No Vehicle",'Data Set 1'!S71="Has Only One Vehicle"),'Data Set 1'!S71,_xlpm.vserdate))</f>
        <v>Has Only One Vehicle</v>
      </c>
      <c r="V71" s="1">
        <f>SUMIF('Data Set 2 - Vehicles'!$A$2:$A$158,'Data Set 1'!A71,'Data Set 2 - Vehicles'!$Q$2:$Q$158)</f>
        <v>86300</v>
      </c>
      <c r="W71" s="5">
        <f>_xlfn.LET(_xlpm.maxdate,_xlfn.MAXIFS('Data Set 2 - Vehicles'!$O$2:$O$158,'Data Set 2 - Vehicles'!$A$2:$A$158,'Data Set 1'!A71),IF(_xlpm.maxdate=0,"",_xlpm.maxdate))</f>
        <v>42258</v>
      </c>
      <c r="X71" s="1" t="str">
        <f t="shared" ca="1" si="3"/>
        <v>InActive</v>
      </c>
      <c r="Y7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72" spans="1:25" ht="12.75" x14ac:dyDescent="0.35">
      <c r="A72" s="15">
        <v>1489</v>
      </c>
      <c r="B72" s="1"/>
      <c r="C72" s="1"/>
      <c r="D72" s="7" t="s">
        <v>757</v>
      </c>
      <c r="E72" s="1" t="s">
        <v>758</v>
      </c>
      <c r="F72" s="1" t="s">
        <v>759</v>
      </c>
      <c r="G72" s="11" t="s">
        <v>419</v>
      </c>
      <c r="H72" s="11">
        <v>8402</v>
      </c>
      <c r="I72" s="1" t="str">
        <f t="shared" si="0"/>
        <v xml:space="preserve"> </v>
      </c>
      <c r="J72" s="1" t="str">
        <f t="shared" si="1"/>
        <v>Icn Pharmaceuticals Inc</v>
      </c>
      <c r="K72" s="1" t="str">
        <f t="shared" si="2"/>
        <v>3338</v>
      </c>
      <c r="L72" s="1" t="str">
        <f>VLOOKUP(A72,'Data Set 3 - Contacts'!$A$2:$F$136,5,FALSE)</f>
        <v>6093733332</v>
      </c>
      <c r="M72" s="1" t="str">
        <f>VLOOKUP(A72,'Data Set 3 - Contacts'!$A$2:$F$136,6,FALSE)</f>
        <v/>
      </c>
      <c r="N72" s="1" t="str">
        <f>VLOOKUP(A72,'Data Set 3 - Contacts'!$A$2:$F$136,4,FALSE)</f>
        <v>catalina@hotmail.com</v>
      </c>
      <c r="O72" s="1">
        <f>_xlfn.XLOOKUP(A72,'Data Set 2 - Vehicles'!$A$2:$A$158,'Data Set 2 - Vehicles'!$B$2:$B$158,0,0,-1)</f>
        <v>1</v>
      </c>
      <c r="P72" s="1" t="str">
        <f>_xlfn.XLOOKUP(A72,'Data Set 2 - Vehicles'!$A$2:$A$158,'Data Set 2 - Vehicles'!$E$2:$E$158,"Not Found",0,1)</f>
        <v>Camaro</v>
      </c>
      <c r="Q72" s="1" t="str">
        <f>IF(_xlfn.CONCAT(_xlfn.XLOOKUP(A72,'Data Set 2 - Vehicles'!$A$2:$A$158,'Data Set 2 - Vehicles'!$D$2:$D$158,"Not Found",0,1)," ",_xlfn.XLOOKUP(A72,'Data Set 2 - Vehicles'!$A$2:$A$158,'Data Set 2 - Vehicles'!$E$2:$E$158,"Not Found",0,1))="Not Found Not Found", "Not Found",_xlfn.CONCAT(_xlfn.XLOOKUP(A72,'Data Set 2 - Vehicles'!$A$2:$A$158,'Data Set 2 - Vehicles'!$D$2:$D$158,"Not Found",0,1)," ",_xlfn.XLOOKUP(A72,'Data Set 2 - Vehicles'!$A$2:$A$158,'Data Set 2 - Vehicles'!$E$2:$E$158,"Not Found",0,1)))</f>
        <v>Chevrolet Camaro</v>
      </c>
      <c r="R72" s="5">
        <f>_xlfn.XLOOKUP(A72,'Data Set 2 - Vehicles'!$A$2:$A$158,'Data Set 2 - Vehicles'!$O$2:$O$158,"",0,1)</f>
        <v>42666</v>
      </c>
      <c r="S72" s="1" t="str">
        <f>IF(_xlfn.XLOOKUP(A72,'Data Set 2 - Vehicles'!$A$2:$A$158,'Data Set 2 - Vehicles'!$E$2:$E$158,"Has No Vehicle",0,-1)=P72,"Has Only One Vehicle",_xlfn.XLOOKUP(A72,'Data Set 2 - Vehicles'!$A$2:$A$158,'Data Set 2 - Vehicles'!$E$2:$E$158,"Has No Vehcile",0,-1))</f>
        <v>Has Only One Vehicle</v>
      </c>
      <c r="T72" s="1" t="str">
        <f>_xlfn.LET(_xlpm.mfcname,_xlfn.XLOOKUP(A72,'Data Set 2 - Vehicles'!$A$2:$A$158,'Data Set 2 - Vehicles'!$D$2:$D$158,"NF",0,-1),_xlpm.mdlname,_xlfn.XLOOKUP(A72,'Data Set 2 - Vehicles'!$A$2:$A$158,'Data Set 2 - Vehicles'!$E$2:$E$158,"NF",0,-1),_xlpm.vehcilename,_xlfn.CONCAT(_xlpm.mfcname," ",_xlpm.mdlname),IF(S72="Has No Vehicle","Has No Vehicle",IF(S72="Has Only One Vehicle","Has Only One Vehicle",IF(_xlpm.vehcilename="NF NF","Not Found",_xlpm.vehcilename))))</f>
        <v>Has Only One Vehicle</v>
      </c>
      <c r="U72" s="24" t="str">
        <f>_xlfn.LET(_xlpm.vserdate,_xlfn.XLOOKUP(A72,'Data Set 2 - Vehicles'!$A$2:$A$158,'Data Set 2 - Vehicles'!$O$2:$O$158,"NF",0,-1), IF(OR('Data Set 1'!S72="Has No Vehicle",'Data Set 1'!S72="Has Only One Vehicle"),'Data Set 1'!S72,_xlpm.vserdate))</f>
        <v>Has Only One Vehicle</v>
      </c>
      <c r="V72" s="1">
        <f>SUMIF('Data Set 2 - Vehicles'!$A$2:$A$158,'Data Set 1'!A72,'Data Set 2 - Vehicles'!$Q$2:$Q$158)</f>
        <v>298862</v>
      </c>
      <c r="W72" s="5">
        <f>_xlfn.LET(_xlpm.maxdate,_xlfn.MAXIFS('Data Set 2 - Vehicles'!$O$2:$O$158,'Data Set 2 - Vehicles'!$A$2:$A$158,'Data Set 1'!A72),IF(_xlpm.maxdate=0,"",_xlpm.maxdate))</f>
        <v>42666</v>
      </c>
      <c r="X72" s="1" t="str">
        <f t="shared" ca="1" si="3"/>
        <v>InActive</v>
      </c>
      <c r="Y7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73" spans="1:25" ht="12.75" x14ac:dyDescent="0.35">
      <c r="A73" s="15">
        <v>1023</v>
      </c>
      <c r="B73" s="1" t="s">
        <v>761</v>
      </c>
      <c r="C73" s="1" t="s">
        <v>762</v>
      </c>
      <c r="D73" s="7"/>
      <c r="E73" s="1" t="s">
        <v>763</v>
      </c>
      <c r="F73" s="1" t="s">
        <v>764</v>
      </c>
      <c r="G73" s="11" t="s">
        <v>660</v>
      </c>
      <c r="H73" s="11">
        <v>75062</v>
      </c>
      <c r="I73" s="1" t="str">
        <f t="shared" si="0"/>
        <v>Willard Kolmetz</v>
      </c>
      <c r="J73" s="1" t="str">
        <f t="shared" si="1"/>
        <v>Willard Kolmetz</v>
      </c>
      <c r="K73" s="1" t="str">
        <f t="shared" si="2"/>
        <v>618</v>
      </c>
      <c r="L73" s="1" t="str">
        <f>VLOOKUP(A73,'Data Set 3 - Contacts'!$A$2:$F$136,5,FALSE)</f>
        <v>9723039197</v>
      </c>
      <c r="M73" s="1" t="str">
        <f>VLOOKUP(A73,'Data Set 3 - Contacts'!$A$2:$F$136,6,FALSE)</f>
        <v/>
      </c>
      <c r="N73" s="1" t="str">
        <f>VLOOKUP(A73,'Data Set 3 - Contacts'!$A$2:$F$136,4,FALSE)</f>
        <v>willard@hotmail.com</v>
      </c>
      <c r="O73" s="1">
        <f>_xlfn.XLOOKUP(A73,'Data Set 2 - Vehicles'!$A$2:$A$158,'Data Set 2 - Vehicles'!$B$2:$B$158,0,0,-1)</f>
        <v>1</v>
      </c>
      <c r="P73" s="1" t="str">
        <f>_xlfn.XLOOKUP(A73,'Data Set 2 - Vehicles'!$A$2:$A$158,'Data Set 2 - Vehicles'!$E$2:$E$158,"Not Found",0,1)</f>
        <v>Cutlass</v>
      </c>
      <c r="Q73" s="1" t="str">
        <f>IF(_xlfn.CONCAT(_xlfn.XLOOKUP(A73,'Data Set 2 - Vehicles'!$A$2:$A$158,'Data Set 2 - Vehicles'!$D$2:$D$158,"Not Found",0,1)," ",_xlfn.XLOOKUP(A73,'Data Set 2 - Vehicles'!$A$2:$A$158,'Data Set 2 - Vehicles'!$E$2:$E$158,"Not Found",0,1))="Not Found Not Found", "Not Found",_xlfn.CONCAT(_xlfn.XLOOKUP(A73,'Data Set 2 - Vehicles'!$A$2:$A$158,'Data Set 2 - Vehicles'!$D$2:$D$158,"Not Found",0,1)," ",_xlfn.XLOOKUP(A73,'Data Set 2 - Vehicles'!$A$2:$A$158,'Data Set 2 - Vehicles'!$E$2:$E$158,"Not Found",0,1)))</f>
        <v>Oldsmobile Cutlass</v>
      </c>
      <c r="R73" s="5">
        <f>_xlfn.XLOOKUP(A73,'Data Set 2 - Vehicles'!$A$2:$A$158,'Data Set 2 - Vehicles'!$O$2:$O$158,"",0,1)</f>
        <v>38868</v>
      </c>
      <c r="S73" s="1" t="str">
        <f>IF(_xlfn.XLOOKUP(A73,'Data Set 2 - Vehicles'!$A$2:$A$158,'Data Set 2 - Vehicles'!$E$2:$E$158,"Has No Vehicle",0,-1)=P73,"Has Only One Vehicle",_xlfn.XLOOKUP(A73,'Data Set 2 - Vehicles'!$A$2:$A$158,'Data Set 2 - Vehicles'!$E$2:$E$158,"Has No Vehcile",0,-1))</f>
        <v>Has Only One Vehicle</v>
      </c>
      <c r="T73" s="1" t="str">
        <f>_xlfn.LET(_xlpm.mfcname,_xlfn.XLOOKUP(A73,'Data Set 2 - Vehicles'!$A$2:$A$158,'Data Set 2 - Vehicles'!$D$2:$D$158,"NF",0,-1),_xlpm.mdlname,_xlfn.XLOOKUP(A73,'Data Set 2 - Vehicles'!$A$2:$A$158,'Data Set 2 - Vehicles'!$E$2:$E$158,"NF",0,-1),_xlpm.vehcilename,_xlfn.CONCAT(_xlpm.mfcname," ",_xlpm.mdlname),IF(S73="Has No Vehicle","Has No Vehicle",IF(S73="Has Only One Vehicle","Has Only One Vehicle",IF(_xlpm.vehcilename="NF NF","Not Found",_xlpm.vehcilename))))</f>
        <v>Has Only One Vehicle</v>
      </c>
      <c r="U73" s="24" t="str">
        <f>_xlfn.LET(_xlpm.vserdate,_xlfn.XLOOKUP(A73,'Data Set 2 - Vehicles'!$A$2:$A$158,'Data Set 2 - Vehicles'!$O$2:$O$158,"NF",0,-1), IF(OR('Data Set 1'!S73="Has No Vehicle",'Data Set 1'!S73="Has Only One Vehicle"),'Data Set 1'!S73,_xlpm.vserdate))</f>
        <v>Has Only One Vehicle</v>
      </c>
      <c r="V73" s="1">
        <f>SUMIF('Data Set 2 - Vehicles'!$A$2:$A$158,'Data Set 1'!A73,'Data Set 2 - Vehicles'!$Q$2:$Q$158)</f>
        <v>232945</v>
      </c>
      <c r="W73" s="5">
        <f>_xlfn.LET(_xlpm.maxdate,_xlfn.MAXIFS('Data Set 2 - Vehicles'!$O$2:$O$158,'Data Set 2 - Vehicles'!$A$2:$A$158,'Data Set 1'!A73),IF(_xlpm.maxdate=0,"",_xlpm.maxdate))</f>
        <v>38868</v>
      </c>
      <c r="X73" s="1" t="str">
        <f t="shared" ca="1" si="3"/>
        <v>InActive</v>
      </c>
      <c r="Y7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74" spans="1:25" ht="12.75" x14ac:dyDescent="0.35">
      <c r="A74" s="15">
        <v>1496</v>
      </c>
      <c r="B74" s="1" t="s">
        <v>766</v>
      </c>
      <c r="C74" s="1" t="s">
        <v>767</v>
      </c>
      <c r="D74" s="7" t="s">
        <v>768</v>
      </c>
      <c r="E74" s="1" t="s">
        <v>769</v>
      </c>
      <c r="F74" s="1" t="s">
        <v>770</v>
      </c>
      <c r="G74" s="11" t="s">
        <v>772</v>
      </c>
      <c r="H74" s="11">
        <v>83709</v>
      </c>
      <c r="I74" s="1" t="str">
        <f t="shared" si="0"/>
        <v>Brittni Gillaspie</v>
      </c>
      <c r="J74" s="1" t="str">
        <f t="shared" si="1"/>
        <v>Brittni Gillaspie</v>
      </c>
      <c r="K74" s="1" t="str">
        <f t="shared" si="2"/>
        <v>67</v>
      </c>
      <c r="L74" s="1" t="str">
        <f>VLOOKUP(A74,'Data Set 3 - Contacts'!$A$2:$F$136,5,FALSE)</f>
        <v>2087091235</v>
      </c>
      <c r="M74" s="1" t="str">
        <f>VLOOKUP(A74,'Data Set 3 - Contacts'!$A$2:$F$136,6,FALSE)</f>
        <v/>
      </c>
      <c r="N74" s="1" t="str">
        <f>VLOOKUP(A74,'Data Set 3 - Contacts'!$A$2:$F$136,4,FALSE)</f>
        <v>bgillaspie@gillaspie.com</v>
      </c>
      <c r="O74" s="1">
        <f>_xlfn.XLOOKUP(A74,'Data Set 2 - Vehicles'!$A$2:$A$158,'Data Set 2 - Vehicles'!$B$2:$B$158,0,0,-1)</f>
        <v>2</v>
      </c>
      <c r="P74" s="1" t="str">
        <f>_xlfn.XLOOKUP(A74,'Data Set 2 - Vehicles'!$A$2:$A$158,'Data Set 2 - Vehicles'!$E$2:$E$158,"Not Found",0,1)</f>
        <v>Integra</v>
      </c>
      <c r="Q74" s="1" t="str">
        <f>IF(_xlfn.CONCAT(_xlfn.XLOOKUP(A74,'Data Set 2 - Vehicles'!$A$2:$A$158,'Data Set 2 - Vehicles'!$D$2:$D$158,"Not Found",0,1)," ",_xlfn.XLOOKUP(A74,'Data Set 2 - Vehicles'!$A$2:$A$158,'Data Set 2 - Vehicles'!$E$2:$E$158,"Not Found",0,1))="Not Found Not Found", "Not Found",_xlfn.CONCAT(_xlfn.XLOOKUP(A74,'Data Set 2 - Vehicles'!$A$2:$A$158,'Data Set 2 - Vehicles'!$D$2:$D$158,"Not Found",0,1)," ",_xlfn.XLOOKUP(A74,'Data Set 2 - Vehicles'!$A$2:$A$158,'Data Set 2 - Vehicles'!$E$2:$E$158,"Not Found",0,1)))</f>
        <v>Acura Integra</v>
      </c>
      <c r="R74" s="5">
        <f>_xlfn.XLOOKUP(A74,'Data Set 2 - Vehicles'!$A$2:$A$158,'Data Set 2 - Vehicles'!$O$2:$O$158,"",0,1)</f>
        <v>39480</v>
      </c>
      <c r="S74" s="1" t="str">
        <f>IF(_xlfn.XLOOKUP(A74,'Data Set 2 - Vehicles'!$A$2:$A$158,'Data Set 2 - Vehicles'!$E$2:$E$158,"Has No Vehicle",0,-1)=P74,"Has Only One Vehicle",_xlfn.XLOOKUP(A74,'Data Set 2 - Vehicles'!$A$2:$A$158,'Data Set 2 - Vehicles'!$E$2:$E$158,"Has No Vehcile",0,-1))</f>
        <v>Durango</v>
      </c>
      <c r="T74" s="1" t="str">
        <f>_xlfn.LET(_xlpm.mfcname,_xlfn.XLOOKUP(A74,'Data Set 2 - Vehicles'!$A$2:$A$158,'Data Set 2 - Vehicles'!$D$2:$D$158,"NF",0,-1),_xlpm.mdlname,_xlfn.XLOOKUP(A74,'Data Set 2 - Vehicles'!$A$2:$A$158,'Data Set 2 - Vehicles'!$E$2:$E$158,"NF",0,-1),_xlpm.vehcilename,_xlfn.CONCAT(_xlpm.mfcname," ",_xlpm.mdlname),IF(S74="Has No Vehicle","Has No Vehicle",IF(S74="Has Only One Vehicle","Has Only One Vehicle",IF(_xlpm.vehcilename="NF NF","Not Found",_xlpm.vehcilename))))</f>
        <v>Dodge Durango</v>
      </c>
      <c r="U74" s="24">
        <f>_xlfn.LET(_xlpm.vserdate,_xlfn.XLOOKUP(A74,'Data Set 2 - Vehicles'!$A$2:$A$158,'Data Set 2 - Vehicles'!$O$2:$O$158,"NF",0,-1), IF(OR('Data Set 1'!S74="Has No Vehicle",'Data Set 1'!S74="Has Only One Vehicle"),'Data Set 1'!S74,_xlpm.vserdate))</f>
        <v>42548</v>
      </c>
      <c r="V74" s="1">
        <f>SUMIF('Data Set 2 - Vehicles'!$A$2:$A$158,'Data Set 1'!A74,'Data Set 2 - Vehicles'!$Q$2:$Q$158)</f>
        <v>417525</v>
      </c>
      <c r="W74" s="5">
        <f>_xlfn.LET(_xlpm.maxdate,_xlfn.MAXIFS('Data Set 2 - Vehicles'!$O$2:$O$158,'Data Set 2 - Vehicles'!$A$2:$A$158,'Data Set 1'!A74),IF(_xlpm.maxdate=0,"",_xlpm.maxdate))</f>
        <v>42548</v>
      </c>
      <c r="X74" s="1" t="str">
        <f t="shared" ca="1" si="3"/>
        <v>InActive</v>
      </c>
      <c r="Y7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75" spans="1:25" ht="12.75" x14ac:dyDescent="0.35">
      <c r="A75" s="17">
        <v>1280</v>
      </c>
      <c r="B75" s="1"/>
      <c r="C75" s="1"/>
      <c r="D75" s="7" t="s">
        <v>773</v>
      </c>
      <c r="E75" s="1" t="s">
        <v>774</v>
      </c>
      <c r="F75" s="1" t="s">
        <v>775</v>
      </c>
      <c r="G75" s="11" t="s">
        <v>524</v>
      </c>
      <c r="H75" s="11">
        <v>18966</v>
      </c>
      <c r="I75" s="1" t="str">
        <f t="shared" si="0"/>
        <v xml:space="preserve"> </v>
      </c>
      <c r="J75" s="1" t="str">
        <f t="shared" si="1"/>
        <v>Italian Express Franchise Corp</v>
      </c>
      <c r="K75" s="1" t="str">
        <f t="shared" si="2"/>
        <v>5</v>
      </c>
      <c r="L75" s="1" t="str">
        <f>VLOOKUP(A75,'Data Set 3 - Contacts'!$A$2:$F$136,5,FALSE)</f>
        <v>2159798776</v>
      </c>
      <c r="M75" s="1" t="str">
        <f>VLOOKUP(A75,'Data Set 3 - Contacts'!$A$2:$F$136,6,FALSE)</f>
        <v/>
      </c>
      <c r="N75" s="1" t="str">
        <f>VLOOKUP(A75,'Data Set 3 - Contacts'!$A$2:$F$136,4,FALSE)</f>
        <v>garry_keetch@hotmail.com</v>
      </c>
      <c r="O75" s="1">
        <f>_xlfn.XLOOKUP(A75,'Data Set 2 - Vehicles'!$A$2:$A$158,'Data Set 2 - Vehicles'!$B$2:$B$158,0,0,-1)</f>
        <v>0</v>
      </c>
      <c r="P75" s="1" t="str">
        <f>_xlfn.XLOOKUP(A75,'Data Set 2 - Vehicles'!$A$2:$A$158,'Data Set 2 - Vehicles'!$E$2:$E$158,"Not Found",0,1)</f>
        <v>Not Found</v>
      </c>
      <c r="Q75" s="1" t="str">
        <f>IF(_xlfn.CONCAT(_xlfn.XLOOKUP(A75,'Data Set 2 - Vehicles'!$A$2:$A$158,'Data Set 2 - Vehicles'!$D$2:$D$158,"Not Found",0,1)," ",_xlfn.XLOOKUP(A75,'Data Set 2 - Vehicles'!$A$2:$A$158,'Data Set 2 - Vehicles'!$E$2:$E$158,"Not Found",0,1))="Not Found Not Found", "Not Found",_xlfn.CONCAT(_xlfn.XLOOKUP(A75,'Data Set 2 - Vehicles'!$A$2:$A$158,'Data Set 2 - Vehicles'!$D$2:$D$158,"Not Found",0,1)," ",_xlfn.XLOOKUP(A75,'Data Set 2 - Vehicles'!$A$2:$A$158,'Data Set 2 - Vehicles'!$E$2:$E$158,"Not Found",0,1)))</f>
        <v>Not Found</v>
      </c>
      <c r="R75" s="5" t="str">
        <f>_xlfn.XLOOKUP(A75,'Data Set 2 - Vehicles'!$A$2:$A$158,'Data Set 2 - Vehicles'!$O$2:$O$158,"",0,1)</f>
        <v/>
      </c>
      <c r="S75" s="1" t="str">
        <f>IF(_xlfn.XLOOKUP(A75,'Data Set 2 - Vehicles'!$A$2:$A$158,'Data Set 2 - Vehicles'!$E$2:$E$158,"Has No Vehicle",0,-1)=P75,"Has Only One Vehicle",_xlfn.XLOOKUP(A75,'Data Set 2 - Vehicles'!$A$2:$A$158,'Data Set 2 - Vehicles'!$E$2:$E$158,"Has No Vehcile",0,-1))</f>
        <v>Has No Vehcile</v>
      </c>
      <c r="T75" s="1" t="str">
        <f>_xlfn.LET(_xlpm.mfcname,_xlfn.XLOOKUP(A75,'Data Set 2 - Vehicles'!$A$2:$A$158,'Data Set 2 - Vehicles'!$D$2:$D$158,"NF",0,-1),_xlpm.mdlname,_xlfn.XLOOKUP(A75,'Data Set 2 - Vehicles'!$A$2:$A$158,'Data Set 2 - Vehicles'!$E$2:$E$158,"NF",0,-1),_xlpm.vehcilename,_xlfn.CONCAT(_xlpm.mfcname," ",_xlpm.mdlname),IF(S75="Has No Vehicle","Has No Vehicle",IF(S75="Has Only One Vehicle","Has Only One Vehicle",IF(_xlpm.vehcilename="NF NF","Not Found",_xlpm.vehcilename))))</f>
        <v>Not Found</v>
      </c>
      <c r="U75" s="24" t="str">
        <f>_xlfn.LET(_xlpm.vserdate,_xlfn.XLOOKUP(A75,'Data Set 2 - Vehicles'!$A$2:$A$158,'Data Set 2 - Vehicles'!$O$2:$O$158,"NF",0,-1), IF(OR('Data Set 1'!S75="Has No Vehicle",'Data Set 1'!S75="Has Only One Vehicle"),'Data Set 1'!S75,_xlpm.vserdate))</f>
        <v>NF</v>
      </c>
      <c r="V75" s="1">
        <f>SUMIF('Data Set 2 - Vehicles'!$A$2:$A$158,'Data Set 1'!A75,'Data Set 2 - Vehicles'!$Q$2:$Q$158)</f>
        <v>0</v>
      </c>
      <c r="W75" s="5" t="str">
        <f>_xlfn.LET(_xlpm.maxdate,_xlfn.MAXIFS('Data Set 2 - Vehicles'!$O$2:$O$158,'Data Set 2 - Vehicles'!$A$2:$A$158,'Data Set 1'!A75),IF(_xlpm.maxdate=0,"",_xlpm.maxdate))</f>
        <v/>
      </c>
      <c r="X75" s="1" t="str">
        <f t="shared" ca="1" si="3"/>
        <v>No Service Record</v>
      </c>
      <c r="Y7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76" spans="1:25" ht="12.75" x14ac:dyDescent="0.35">
      <c r="A76" s="17">
        <v>1416</v>
      </c>
      <c r="B76" s="1"/>
      <c r="C76" s="1"/>
      <c r="D76" s="7" t="s">
        <v>777</v>
      </c>
      <c r="E76" s="1" t="s">
        <v>778</v>
      </c>
      <c r="F76" s="1" t="s">
        <v>779</v>
      </c>
      <c r="G76" s="11" t="s">
        <v>780</v>
      </c>
      <c r="H76" s="11">
        <v>99352</v>
      </c>
      <c r="I76" s="1" t="str">
        <f t="shared" si="0"/>
        <v xml:space="preserve"> </v>
      </c>
      <c r="J76" s="1" t="str">
        <f t="shared" si="1"/>
        <v>Jackson Millwork Co</v>
      </c>
      <c r="K76" s="1" t="str">
        <f t="shared" si="2"/>
        <v>39</v>
      </c>
      <c r="L76" s="1" t="str">
        <f>VLOOKUP(A76,'Data Set 3 - Contacts'!$A$2:$F$136,5,FALSE)</f>
        <v>5097555393</v>
      </c>
      <c r="M76" s="1" t="str">
        <f>VLOOKUP(A76,'Data Set 3 - Contacts'!$A$2:$F$136,6,FALSE)</f>
        <v/>
      </c>
      <c r="N76" s="1" t="str">
        <f>VLOOKUP(A76,'Data Set 3 - Contacts'!$A$2:$F$136,4,FALSE)</f>
        <v>ettie.hoopengardner@hotmail.com</v>
      </c>
      <c r="O76" s="1">
        <f>_xlfn.XLOOKUP(A76,'Data Set 2 - Vehicles'!$A$2:$A$158,'Data Set 2 - Vehicles'!$B$2:$B$158,0,0,-1)</f>
        <v>1</v>
      </c>
      <c r="P76" s="1" t="str">
        <f>_xlfn.XLOOKUP(A76,'Data Set 2 - Vehicles'!$A$2:$A$158,'Data Set 2 - Vehicles'!$E$2:$E$158,"Not Found",0,1)</f>
        <v>Town &amp; Country</v>
      </c>
      <c r="Q76" s="1" t="str">
        <f>IF(_xlfn.CONCAT(_xlfn.XLOOKUP(A76,'Data Set 2 - Vehicles'!$A$2:$A$158,'Data Set 2 - Vehicles'!$D$2:$D$158,"Not Found",0,1)," ",_xlfn.XLOOKUP(A76,'Data Set 2 - Vehicles'!$A$2:$A$158,'Data Set 2 - Vehicles'!$E$2:$E$158,"Not Found",0,1))="Not Found Not Found", "Not Found",_xlfn.CONCAT(_xlfn.XLOOKUP(A76,'Data Set 2 - Vehicles'!$A$2:$A$158,'Data Set 2 - Vehicles'!$D$2:$D$158,"Not Found",0,1)," ",_xlfn.XLOOKUP(A76,'Data Set 2 - Vehicles'!$A$2:$A$158,'Data Set 2 - Vehicles'!$E$2:$E$158,"Not Found",0,1)))</f>
        <v>Chrysler Town &amp; Country</v>
      </c>
      <c r="R76" s="5">
        <f>_xlfn.XLOOKUP(A76,'Data Set 2 - Vehicles'!$A$2:$A$158,'Data Set 2 - Vehicles'!$O$2:$O$158,"",0,1)</f>
        <v>42564</v>
      </c>
      <c r="S76" s="1" t="str">
        <f>IF(_xlfn.XLOOKUP(A76,'Data Set 2 - Vehicles'!$A$2:$A$158,'Data Set 2 - Vehicles'!$E$2:$E$158,"Has No Vehicle",0,-1)=P76,"Has Only One Vehicle",_xlfn.XLOOKUP(A76,'Data Set 2 - Vehicles'!$A$2:$A$158,'Data Set 2 - Vehicles'!$E$2:$E$158,"Has No Vehcile",0,-1))</f>
        <v>Has Only One Vehicle</v>
      </c>
      <c r="T76" s="1" t="str">
        <f>_xlfn.LET(_xlpm.mfcname,_xlfn.XLOOKUP(A76,'Data Set 2 - Vehicles'!$A$2:$A$158,'Data Set 2 - Vehicles'!$D$2:$D$158,"NF",0,-1),_xlpm.mdlname,_xlfn.XLOOKUP(A76,'Data Set 2 - Vehicles'!$A$2:$A$158,'Data Set 2 - Vehicles'!$E$2:$E$158,"NF",0,-1),_xlpm.vehcilename,_xlfn.CONCAT(_xlpm.mfcname," ",_xlpm.mdlname),IF(S76="Has No Vehicle","Has No Vehicle",IF(S76="Has Only One Vehicle","Has Only One Vehicle",IF(_xlpm.vehcilename="NF NF","Not Found",_xlpm.vehcilename))))</f>
        <v>Has Only One Vehicle</v>
      </c>
      <c r="U76" s="24" t="str">
        <f>_xlfn.LET(_xlpm.vserdate,_xlfn.XLOOKUP(A76,'Data Set 2 - Vehicles'!$A$2:$A$158,'Data Set 2 - Vehicles'!$O$2:$O$158,"NF",0,-1), IF(OR('Data Set 1'!S76="Has No Vehicle",'Data Set 1'!S76="Has Only One Vehicle"),'Data Set 1'!S76,_xlpm.vserdate))</f>
        <v>Has Only One Vehicle</v>
      </c>
      <c r="V76" s="1">
        <f>SUMIF('Data Set 2 - Vehicles'!$A$2:$A$158,'Data Set 1'!A76,'Data Set 2 - Vehicles'!$Q$2:$Q$158)</f>
        <v>257947</v>
      </c>
      <c r="W76" s="5">
        <f>_xlfn.LET(_xlpm.maxdate,_xlfn.MAXIFS('Data Set 2 - Vehicles'!$O$2:$O$158,'Data Set 2 - Vehicles'!$A$2:$A$158,'Data Set 1'!A76),IF(_xlpm.maxdate=0,"",_xlpm.maxdate))</f>
        <v>42564</v>
      </c>
      <c r="X76" s="1" t="str">
        <f t="shared" ca="1" si="3"/>
        <v>InActive</v>
      </c>
      <c r="Y7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77" spans="1:25" ht="12.75" x14ac:dyDescent="0.35">
      <c r="A77" s="15">
        <v>1215</v>
      </c>
      <c r="B77" s="1"/>
      <c r="C77" s="1"/>
      <c r="D77" s="7" t="s">
        <v>781</v>
      </c>
      <c r="E77" s="1" t="s">
        <v>783</v>
      </c>
      <c r="F77" s="1" t="s">
        <v>784</v>
      </c>
      <c r="G77" s="11" t="s">
        <v>660</v>
      </c>
      <c r="H77" s="11">
        <v>75207</v>
      </c>
      <c r="I77" s="1" t="str">
        <f t="shared" si="0"/>
        <v xml:space="preserve"> </v>
      </c>
      <c r="J77" s="1" t="str">
        <f t="shared" si="1"/>
        <v>Jets Cybernetics</v>
      </c>
      <c r="K77" s="1" t="str">
        <f t="shared" si="2"/>
        <v>99586</v>
      </c>
      <c r="L77" s="1" t="str">
        <f>VLOOKUP(A77,'Data Set 3 - Contacts'!$A$2:$F$136,5,FALSE)</f>
        <v>2144282285</v>
      </c>
      <c r="M77" s="1" t="str">
        <f>VLOOKUP(A77,'Data Set 3 - Contacts'!$A$2:$F$136,6,FALSE)</f>
        <v>2145291949</v>
      </c>
      <c r="N77" s="1" t="str">
        <f>VLOOKUP(A77,'Data Set 3 - Contacts'!$A$2:$F$136,4,FALSE)</f>
        <v>frederica_blunk@gmail.com</v>
      </c>
      <c r="O77" s="1">
        <f>_xlfn.XLOOKUP(A77,'Data Set 2 - Vehicles'!$A$2:$A$158,'Data Set 2 - Vehicles'!$B$2:$B$158,0,0,-1)</f>
        <v>1</v>
      </c>
      <c r="P77" s="1" t="str">
        <f>_xlfn.XLOOKUP(A77,'Data Set 2 - Vehicles'!$A$2:$A$158,'Data Set 2 - Vehicles'!$E$2:$E$158,"Not Found",0,1)</f>
        <v>Quest</v>
      </c>
      <c r="Q77" s="1" t="str">
        <f>IF(_xlfn.CONCAT(_xlfn.XLOOKUP(A77,'Data Set 2 - Vehicles'!$A$2:$A$158,'Data Set 2 - Vehicles'!$D$2:$D$158,"Not Found",0,1)," ",_xlfn.XLOOKUP(A77,'Data Set 2 - Vehicles'!$A$2:$A$158,'Data Set 2 - Vehicles'!$E$2:$E$158,"Not Found",0,1))="Not Found Not Found", "Not Found",_xlfn.CONCAT(_xlfn.XLOOKUP(A77,'Data Set 2 - Vehicles'!$A$2:$A$158,'Data Set 2 - Vehicles'!$D$2:$D$158,"Not Found",0,1)," ",_xlfn.XLOOKUP(A77,'Data Set 2 - Vehicles'!$A$2:$A$158,'Data Set 2 - Vehicles'!$E$2:$E$158,"Not Found",0,1)))</f>
        <v>Nissan Quest</v>
      </c>
      <c r="R77" s="5">
        <f>_xlfn.XLOOKUP(A77,'Data Set 2 - Vehicles'!$A$2:$A$158,'Data Set 2 - Vehicles'!$O$2:$O$158,"",0,1)</f>
        <v>45723</v>
      </c>
      <c r="S77" s="1" t="str">
        <f>IF(_xlfn.XLOOKUP(A77,'Data Set 2 - Vehicles'!$A$2:$A$158,'Data Set 2 - Vehicles'!$E$2:$E$158,"Has No Vehicle",0,-1)=P77,"Has Only One Vehicle",_xlfn.XLOOKUP(A77,'Data Set 2 - Vehicles'!$A$2:$A$158,'Data Set 2 - Vehicles'!$E$2:$E$158,"Has No Vehcile",0,-1))</f>
        <v>Has Only One Vehicle</v>
      </c>
      <c r="T77" s="1" t="str">
        <f>_xlfn.LET(_xlpm.mfcname,_xlfn.XLOOKUP(A77,'Data Set 2 - Vehicles'!$A$2:$A$158,'Data Set 2 - Vehicles'!$D$2:$D$158,"NF",0,-1),_xlpm.mdlname,_xlfn.XLOOKUP(A77,'Data Set 2 - Vehicles'!$A$2:$A$158,'Data Set 2 - Vehicles'!$E$2:$E$158,"NF",0,-1),_xlpm.vehcilename,_xlfn.CONCAT(_xlpm.mfcname," ",_xlpm.mdlname),IF(S77="Has No Vehicle","Has No Vehicle",IF(S77="Has Only One Vehicle","Has Only One Vehicle",IF(_xlpm.vehcilename="NF NF","Not Found",_xlpm.vehcilename))))</f>
        <v>Has Only One Vehicle</v>
      </c>
      <c r="U77" s="24" t="str">
        <f>_xlfn.LET(_xlpm.vserdate,_xlfn.XLOOKUP(A77,'Data Set 2 - Vehicles'!$A$2:$A$158,'Data Set 2 - Vehicles'!$O$2:$O$158,"NF",0,-1), IF(OR('Data Set 1'!S77="Has No Vehicle",'Data Set 1'!S77="Has Only One Vehicle"),'Data Set 1'!S77,_xlpm.vserdate))</f>
        <v>Has Only One Vehicle</v>
      </c>
      <c r="V77" s="1">
        <f>SUMIF('Data Set 2 - Vehicles'!$A$2:$A$158,'Data Set 1'!A77,'Data Set 2 - Vehicles'!$Q$2:$Q$158)</f>
        <v>231652</v>
      </c>
      <c r="W77" s="5">
        <f>_xlfn.LET(_xlpm.maxdate,_xlfn.MAXIFS('Data Set 2 - Vehicles'!$O$2:$O$158,'Data Set 2 - Vehicles'!$A$2:$A$158,'Data Set 1'!A77),IF(_xlpm.maxdate=0,"",_xlpm.maxdate))</f>
        <v>45723</v>
      </c>
      <c r="X77" s="1" t="str">
        <f t="shared" ca="1" si="3"/>
        <v>Active</v>
      </c>
      <c r="Y7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78" spans="1:25" ht="12.75" x14ac:dyDescent="0.35">
      <c r="A78" s="15">
        <v>1270</v>
      </c>
      <c r="B78" s="1"/>
      <c r="C78" s="1"/>
      <c r="D78" s="7" t="s">
        <v>681</v>
      </c>
      <c r="E78" s="1" t="s">
        <v>785</v>
      </c>
      <c r="F78" s="1" t="s">
        <v>786</v>
      </c>
      <c r="G78" s="11" t="s">
        <v>787</v>
      </c>
      <c r="H78" s="11">
        <v>32937</v>
      </c>
      <c r="I78" s="1" t="str">
        <f t="shared" si="0"/>
        <v xml:space="preserve"> </v>
      </c>
      <c r="J78" s="1" t="str">
        <f t="shared" si="1"/>
        <v>Feltz Printing Service</v>
      </c>
      <c r="K78" s="1" t="str">
        <f t="shared" si="2"/>
        <v>77</v>
      </c>
      <c r="L78" s="1" t="str">
        <f>VLOOKUP(A78,'Data Set 3 - Contacts'!$A$2:$F$136,5,FALSE)</f>
        <v>3215185938</v>
      </c>
      <c r="M78" s="1" t="str">
        <f>VLOOKUP(A78,'Data Set 3 - Contacts'!$A$2:$F$136,6,FALSE)</f>
        <v>3215972159</v>
      </c>
      <c r="N78" s="1" t="str">
        <f>VLOOKUP(A78,'Data Set 3 - Contacts'!$A$2:$F$136,4,FALSE)</f>
        <v>jzurcher@zurcher.org</v>
      </c>
      <c r="O78" s="1">
        <f>_xlfn.XLOOKUP(A78,'Data Set 2 - Vehicles'!$A$2:$A$158,'Data Set 2 - Vehicles'!$B$2:$B$158,0,0,-1)</f>
        <v>0</v>
      </c>
      <c r="P78" s="1" t="str">
        <f>_xlfn.XLOOKUP(A78,'Data Set 2 - Vehicles'!$A$2:$A$158,'Data Set 2 - Vehicles'!$E$2:$E$158,"Not Found",0,1)</f>
        <v>Not Found</v>
      </c>
      <c r="Q78" s="1" t="str">
        <f>IF(_xlfn.CONCAT(_xlfn.XLOOKUP(A78,'Data Set 2 - Vehicles'!$A$2:$A$158,'Data Set 2 - Vehicles'!$D$2:$D$158,"Not Found",0,1)," ",_xlfn.XLOOKUP(A78,'Data Set 2 - Vehicles'!$A$2:$A$158,'Data Set 2 - Vehicles'!$E$2:$E$158,"Not Found",0,1))="Not Found Not Found", "Not Found",_xlfn.CONCAT(_xlfn.XLOOKUP(A78,'Data Set 2 - Vehicles'!$A$2:$A$158,'Data Set 2 - Vehicles'!$D$2:$D$158,"Not Found",0,1)," ",_xlfn.XLOOKUP(A78,'Data Set 2 - Vehicles'!$A$2:$A$158,'Data Set 2 - Vehicles'!$E$2:$E$158,"Not Found",0,1)))</f>
        <v>Not Found</v>
      </c>
      <c r="R78" s="5" t="str">
        <f>_xlfn.XLOOKUP(A78,'Data Set 2 - Vehicles'!$A$2:$A$158,'Data Set 2 - Vehicles'!$O$2:$O$158,"",0,1)</f>
        <v/>
      </c>
      <c r="S78" s="1" t="str">
        <f>IF(_xlfn.XLOOKUP(A78,'Data Set 2 - Vehicles'!$A$2:$A$158,'Data Set 2 - Vehicles'!$E$2:$E$158,"Has No Vehicle",0,-1)=P78,"Has Only One Vehicle",_xlfn.XLOOKUP(A78,'Data Set 2 - Vehicles'!$A$2:$A$158,'Data Set 2 - Vehicles'!$E$2:$E$158,"Has No Vehcile",0,-1))</f>
        <v>Has No Vehcile</v>
      </c>
      <c r="T78" s="1" t="str">
        <f>_xlfn.LET(_xlpm.mfcname,_xlfn.XLOOKUP(A78,'Data Set 2 - Vehicles'!$A$2:$A$158,'Data Set 2 - Vehicles'!$D$2:$D$158,"NF",0,-1),_xlpm.mdlname,_xlfn.XLOOKUP(A78,'Data Set 2 - Vehicles'!$A$2:$A$158,'Data Set 2 - Vehicles'!$E$2:$E$158,"NF",0,-1),_xlpm.vehcilename,_xlfn.CONCAT(_xlpm.mfcname," ",_xlpm.mdlname),IF(S78="Has No Vehicle","Has No Vehicle",IF(S78="Has Only One Vehicle","Has Only One Vehicle",IF(_xlpm.vehcilename="NF NF","Not Found",_xlpm.vehcilename))))</f>
        <v>Not Found</v>
      </c>
      <c r="U78" s="24" t="str">
        <f>_xlfn.LET(_xlpm.vserdate,_xlfn.XLOOKUP(A78,'Data Set 2 - Vehicles'!$A$2:$A$158,'Data Set 2 - Vehicles'!$O$2:$O$158,"NF",0,-1), IF(OR('Data Set 1'!S78="Has No Vehicle",'Data Set 1'!S78="Has Only One Vehicle"),'Data Set 1'!S78,_xlpm.vserdate))</f>
        <v>NF</v>
      </c>
      <c r="V78" s="1">
        <f>SUMIF('Data Set 2 - Vehicles'!$A$2:$A$158,'Data Set 1'!A78,'Data Set 2 - Vehicles'!$Q$2:$Q$158)</f>
        <v>0</v>
      </c>
      <c r="W78" s="5" t="str">
        <f>_xlfn.LET(_xlpm.maxdate,_xlfn.MAXIFS('Data Set 2 - Vehicles'!$O$2:$O$158,'Data Set 2 - Vehicles'!$A$2:$A$158,'Data Set 1'!A78),IF(_xlpm.maxdate=0,"",_xlpm.maxdate))</f>
        <v/>
      </c>
      <c r="X78" s="1" t="str">
        <f t="shared" ca="1" si="3"/>
        <v>No Service Record</v>
      </c>
      <c r="Y7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79" spans="1:25" ht="12.75" x14ac:dyDescent="0.35">
      <c r="A79" s="15">
        <v>1378</v>
      </c>
      <c r="B79" s="1" t="s">
        <v>789</v>
      </c>
      <c r="C79" s="1" t="s">
        <v>790</v>
      </c>
      <c r="D79" s="7" t="s">
        <v>791</v>
      </c>
      <c r="E79" s="1" t="s">
        <v>792</v>
      </c>
      <c r="F79" s="1" t="s">
        <v>510</v>
      </c>
      <c r="G79" s="11" t="s">
        <v>448</v>
      </c>
      <c r="H79" s="11">
        <v>80919</v>
      </c>
      <c r="I79" s="1" t="str">
        <f t="shared" ref="I79:I142" si="4">_xlfn.CONCAT(B79," ",C79)</f>
        <v>Jaclyn Bachman</v>
      </c>
      <c r="J79" s="1" t="str">
        <f t="shared" ref="J79:J142" si="5">IF(I79=" ",D79,I79)</f>
        <v>Jaclyn Bachman</v>
      </c>
      <c r="K79" s="1" t="str">
        <f t="shared" ref="K79:K142" si="6">_xlfn.TEXTBEFORE(E79, " ")</f>
        <v>721</v>
      </c>
      <c r="L79" s="1" t="str">
        <f>VLOOKUP(A79,'Data Set 3 - Contacts'!$A$2:$F$136,5,FALSE)</f>
        <v>7198533600</v>
      </c>
      <c r="M79" s="1" t="str">
        <f>VLOOKUP(A79,'Data Set 3 - Contacts'!$A$2:$F$136,6,FALSE)</f>
        <v>7192232074</v>
      </c>
      <c r="N79" s="1" t="str">
        <f>VLOOKUP(A79,'Data Set 3 - Contacts'!$A$2:$F$136,4,FALSE)</f>
        <v>jaclyn@aol.com</v>
      </c>
      <c r="O79" s="1">
        <f>_xlfn.XLOOKUP(A79,'Data Set 2 - Vehicles'!$A$2:$A$158,'Data Set 2 - Vehicles'!$B$2:$B$158,0,0,-1)</f>
        <v>2</v>
      </c>
      <c r="P79" s="1" t="str">
        <f>_xlfn.XLOOKUP(A79,'Data Set 2 - Vehicles'!$A$2:$A$158,'Data Set 2 - Vehicles'!$E$2:$E$158,"Not Found",0,1)</f>
        <v>LW</v>
      </c>
      <c r="Q79" s="1" t="str">
        <f>IF(_xlfn.CONCAT(_xlfn.XLOOKUP(A79,'Data Set 2 - Vehicles'!$A$2:$A$158,'Data Set 2 - Vehicles'!$D$2:$D$158,"Not Found",0,1)," ",_xlfn.XLOOKUP(A79,'Data Set 2 - Vehicles'!$A$2:$A$158,'Data Set 2 - Vehicles'!$E$2:$E$158,"Not Found",0,1))="Not Found Not Found", "Not Found",_xlfn.CONCAT(_xlfn.XLOOKUP(A79,'Data Set 2 - Vehicles'!$A$2:$A$158,'Data Set 2 - Vehicles'!$D$2:$D$158,"Not Found",0,1)," ",_xlfn.XLOOKUP(A79,'Data Set 2 - Vehicles'!$A$2:$A$158,'Data Set 2 - Vehicles'!$E$2:$E$158,"Not Found",0,1)))</f>
        <v>Saturn LW</v>
      </c>
      <c r="R79" s="5">
        <f>_xlfn.XLOOKUP(A79,'Data Set 2 - Vehicles'!$A$2:$A$158,'Data Set 2 - Vehicles'!$O$2:$O$158,"",0,1)</f>
        <v>42952</v>
      </c>
      <c r="S79" s="1" t="str">
        <f>IF(_xlfn.XLOOKUP(A79,'Data Set 2 - Vehicles'!$A$2:$A$158,'Data Set 2 - Vehicles'!$E$2:$E$158,"Has No Vehicle",0,-1)=P79,"Has Only One Vehicle",_xlfn.XLOOKUP(A79,'Data Set 2 - Vehicles'!$A$2:$A$158,'Data Set 2 - Vehicles'!$E$2:$E$158,"Has No Vehcile",0,-1))</f>
        <v>S80</v>
      </c>
      <c r="T79" s="1" t="str">
        <f>_xlfn.LET(_xlpm.mfcname,_xlfn.XLOOKUP(A79,'Data Set 2 - Vehicles'!$A$2:$A$158,'Data Set 2 - Vehicles'!$D$2:$D$158,"NF",0,-1),_xlpm.mdlname,_xlfn.XLOOKUP(A79,'Data Set 2 - Vehicles'!$A$2:$A$158,'Data Set 2 - Vehicles'!$E$2:$E$158,"NF",0,-1),_xlpm.vehcilename,_xlfn.CONCAT(_xlpm.mfcname," ",_xlpm.mdlname),IF(S79="Has No Vehicle","Has No Vehicle",IF(S79="Has Only One Vehicle","Has Only One Vehicle",IF(_xlpm.vehcilename="NF NF","Not Found",_xlpm.vehcilename))))</f>
        <v>Volvo S80</v>
      </c>
      <c r="U79" s="24">
        <f>_xlfn.LET(_xlpm.vserdate,_xlfn.XLOOKUP(A79,'Data Set 2 - Vehicles'!$A$2:$A$158,'Data Set 2 - Vehicles'!$O$2:$O$158,"NF",0,-1), IF(OR('Data Set 1'!S79="Has No Vehicle",'Data Set 1'!S79="Has Only One Vehicle"),'Data Set 1'!S79,_xlpm.vserdate))</f>
        <v>43418</v>
      </c>
      <c r="V79" s="1">
        <f>SUMIF('Data Set 2 - Vehicles'!$A$2:$A$158,'Data Set 1'!A79,'Data Set 2 - Vehicles'!$Q$2:$Q$158)</f>
        <v>244681</v>
      </c>
      <c r="W79" s="5">
        <f>_xlfn.LET(_xlpm.maxdate,_xlfn.MAXIFS('Data Set 2 - Vehicles'!$O$2:$O$158,'Data Set 2 - Vehicles'!$A$2:$A$158,'Data Set 1'!A79),IF(_xlpm.maxdate=0,"",_xlpm.maxdate))</f>
        <v>43418</v>
      </c>
      <c r="X79" s="1" t="str">
        <f t="shared" ref="X79:X142" ca="1" si="7">IF(W79="","No Service Record", IF(W79&lt;EDATE(TODAY(),-48),"InActive","Active"))</f>
        <v>InActive</v>
      </c>
      <c r="Y7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80" spans="1:25" ht="12.75" x14ac:dyDescent="0.35">
      <c r="A80" s="15">
        <v>1112</v>
      </c>
      <c r="B80" s="1"/>
      <c r="C80" s="1"/>
      <c r="D80" s="7" t="s">
        <v>794</v>
      </c>
      <c r="E80" s="1" t="s">
        <v>795</v>
      </c>
      <c r="F80" s="1" t="s">
        <v>710</v>
      </c>
      <c r="G80" s="11" t="s">
        <v>660</v>
      </c>
      <c r="H80" s="11">
        <v>75149</v>
      </c>
      <c r="I80" s="1" t="str">
        <f t="shared" si="4"/>
        <v xml:space="preserve"> </v>
      </c>
      <c r="J80" s="1" t="str">
        <f t="shared" si="5"/>
        <v>Juno Chefs Incorporated</v>
      </c>
      <c r="K80" s="1" t="str">
        <f t="shared" si="6"/>
        <v>2</v>
      </c>
      <c r="L80" s="1" t="str">
        <f>VLOOKUP(A80,'Data Set 3 - Contacts'!$A$2:$F$136,5,FALSE)</f>
        <v>9726663413</v>
      </c>
      <c r="M80" s="1" t="str">
        <f>VLOOKUP(A80,'Data Set 3 - Contacts'!$A$2:$F$136,6,FALSE)</f>
        <v>9727424000</v>
      </c>
      <c r="N80" s="1" t="str">
        <f>VLOOKUP(A80,'Data Set 3 - Contacts'!$A$2:$F$136,4,FALSE)</f>
        <v>sue@aol.com</v>
      </c>
      <c r="O80" s="1">
        <f>_xlfn.XLOOKUP(A80,'Data Set 2 - Vehicles'!$A$2:$A$158,'Data Set 2 - Vehicles'!$B$2:$B$158,0,0,-1)</f>
        <v>1</v>
      </c>
      <c r="P80" s="1" t="str">
        <f>_xlfn.XLOOKUP(A80,'Data Set 2 - Vehicles'!$A$2:$A$158,'Data Set 2 - Vehicles'!$E$2:$E$158,"Not Found",0,1)</f>
        <v>Frontier</v>
      </c>
      <c r="Q80" s="1" t="str">
        <f>IF(_xlfn.CONCAT(_xlfn.XLOOKUP(A80,'Data Set 2 - Vehicles'!$A$2:$A$158,'Data Set 2 - Vehicles'!$D$2:$D$158,"Not Found",0,1)," ",_xlfn.XLOOKUP(A80,'Data Set 2 - Vehicles'!$A$2:$A$158,'Data Set 2 - Vehicles'!$E$2:$E$158,"Not Found",0,1))="Not Found Not Found", "Not Found",_xlfn.CONCAT(_xlfn.XLOOKUP(A80,'Data Set 2 - Vehicles'!$A$2:$A$158,'Data Set 2 - Vehicles'!$D$2:$D$158,"Not Found",0,1)," ",_xlfn.XLOOKUP(A80,'Data Set 2 - Vehicles'!$A$2:$A$158,'Data Set 2 - Vehicles'!$E$2:$E$158,"Not Found",0,1)))</f>
        <v>Nissan Frontier</v>
      </c>
      <c r="R80" s="5">
        <f>_xlfn.XLOOKUP(A80,'Data Set 2 - Vehicles'!$A$2:$A$158,'Data Set 2 - Vehicles'!$O$2:$O$158,"",0,1)</f>
        <v>40417</v>
      </c>
      <c r="S80" s="1" t="str">
        <f>IF(_xlfn.XLOOKUP(A80,'Data Set 2 - Vehicles'!$A$2:$A$158,'Data Set 2 - Vehicles'!$E$2:$E$158,"Has No Vehicle",0,-1)=P80,"Has Only One Vehicle",_xlfn.XLOOKUP(A80,'Data Set 2 - Vehicles'!$A$2:$A$158,'Data Set 2 - Vehicles'!$E$2:$E$158,"Has No Vehcile",0,-1))</f>
        <v>Has Only One Vehicle</v>
      </c>
      <c r="T80" s="1" t="str">
        <f>_xlfn.LET(_xlpm.mfcname,_xlfn.XLOOKUP(A80,'Data Set 2 - Vehicles'!$A$2:$A$158,'Data Set 2 - Vehicles'!$D$2:$D$158,"NF",0,-1),_xlpm.mdlname,_xlfn.XLOOKUP(A80,'Data Set 2 - Vehicles'!$A$2:$A$158,'Data Set 2 - Vehicles'!$E$2:$E$158,"NF",0,-1),_xlpm.vehcilename,_xlfn.CONCAT(_xlpm.mfcname," ",_xlpm.mdlname),IF(S80="Has No Vehicle","Has No Vehicle",IF(S80="Has Only One Vehicle","Has Only One Vehicle",IF(_xlpm.vehcilename="NF NF","Not Found",_xlpm.vehcilename))))</f>
        <v>Has Only One Vehicle</v>
      </c>
      <c r="U80" s="24" t="str">
        <f>_xlfn.LET(_xlpm.vserdate,_xlfn.XLOOKUP(A80,'Data Set 2 - Vehicles'!$A$2:$A$158,'Data Set 2 - Vehicles'!$O$2:$O$158,"NF",0,-1), IF(OR('Data Set 1'!S80="Has No Vehicle",'Data Set 1'!S80="Has Only One Vehicle"),'Data Set 1'!S80,_xlpm.vserdate))</f>
        <v>Has Only One Vehicle</v>
      </c>
      <c r="V80" s="1">
        <f>SUMIF('Data Set 2 - Vehicles'!$A$2:$A$158,'Data Set 1'!A80,'Data Set 2 - Vehicles'!$Q$2:$Q$158)</f>
        <v>98219</v>
      </c>
      <c r="W80" s="5">
        <f>_xlfn.LET(_xlpm.maxdate,_xlfn.MAXIFS('Data Set 2 - Vehicles'!$O$2:$O$158,'Data Set 2 - Vehicles'!$A$2:$A$158,'Data Set 1'!A80),IF(_xlpm.maxdate=0,"",_xlpm.maxdate))</f>
        <v>40417</v>
      </c>
      <c r="X80" s="1" t="str">
        <f t="shared" ca="1" si="7"/>
        <v>InActive</v>
      </c>
      <c r="Y8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81" spans="1:25" ht="12.75" x14ac:dyDescent="0.35">
      <c r="A81" s="15">
        <v>1199</v>
      </c>
      <c r="B81" s="1"/>
      <c r="C81" s="1"/>
      <c r="D81" s="7" t="s">
        <v>798</v>
      </c>
      <c r="E81" s="1" t="s">
        <v>799</v>
      </c>
      <c r="F81" s="1" t="s">
        <v>800</v>
      </c>
      <c r="G81" s="11" t="s">
        <v>787</v>
      </c>
      <c r="H81" s="11">
        <v>32216</v>
      </c>
      <c r="I81" s="1" t="str">
        <f t="shared" si="4"/>
        <v xml:space="preserve"> </v>
      </c>
      <c r="J81" s="1" t="str">
        <f t="shared" si="5"/>
        <v>Juvenile &amp; Adult Super</v>
      </c>
      <c r="K81" s="1" t="str">
        <f t="shared" si="6"/>
        <v>97</v>
      </c>
      <c r="L81" s="1" t="str">
        <f>VLOOKUP(A81,'Data Set 3 - Contacts'!$A$2:$F$136,5,FALSE)</f>
        <v>9042353633</v>
      </c>
      <c r="M81" s="1" t="str">
        <f>VLOOKUP(A81,'Data Set 3 - Contacts'!$A$2:$F$136,6,FALSE)</f>
        <v>9046274341</v>
      </c>
      <c r="N81" s="1" t="str">
        <f>VLOOKUP(A81,'Data Set 3 - Contacts'!$A$2:$F$136,4,FALSE)</f>
        <v>gracia@melnyk.com</v>
      </c>
      <c r="O81" s="1">
        <f>_xlfn.XLOOKUP(A81,'Data Set 2 - Vehicles'!$A$2:$A$158,'Data Set 2 - Vehicles'!$B$2:$B$158,0,0,-1)</f>
        <v>2</v>
      </c>
      <c r="P81" s="1" t="str">
        <f>_xlfn.XLOOKUP(A81,'Data Set 2 - Vehicles'!$A$2:$A$158,'Data Set 2 - Vehicles'!$E$2:$E$158,"Not Found",0,1)</f>
        <v>C70</v>
      </c>
      <c r="Q81" s="1" t="str">
        <f>IF(_xlfn.CONCAT(_xlfn.XLOOKUP(A81,'Data Set 2 - Vehicles'!$A$2:$A$158,'Data Set 2 - Vehicles'!$D$2:$D$158,"Not Found",0,1)," ",_xlfn.XLOOKUP(A81,'Data Set 2 - Vehicles'!$A$2:$A$158,'Data Set 2 - Vehicles'!$E$2:$E$158,"Not Found",0,1))="Not Found Not Found", "Not Found",_xlfn.CONCAT(_xlfn.XLOOKUP(A81,'Data Set 2 - Vehicles'!$A$2:$A$158,'Data Set 2 - Vehicles'!$D$2:$D$158,"Not Found",0,1)," ",_xlfn.XLOOKUP(A81,'Data Set 2 - Vehicles'!$A$2:$A$158,'Data Set 2 - Vehicles'!$E$2:$E$158,"Not Found",0,1)))</f>
        <v>Volvo C70</v>
      </c>
      <c r="R81" s="5">
        <f>_xlfn.XLOOKUP(A81,'Data Set 2 - Vehicles'!$A$2:$A$158,'Data Set 2 - Vehicles'!$O$2:$O$158,"",0,1)</f>
        <v>43947</v>
      </c>
      <c r="S81" s="1" t="str">
        <f>IF(_xlfn.XLOOKUP(A81,'Data Set 2 - Vehicles'!$A$2:$A$158,'Data Set 2 - Vehicles'!$E$2:$E$158,"Has No Vehicle",0,-1)=P81,"Has Only One Vehicle",_xlfn.XLOOKUP(A81,'Data Set 2 - Vehicles'!$A$2:$A$158,'Data Set 2 - Vehicles'!$E$2:$E$158,"Has No Vehcile",0,-1))</f>
        <v>SW</v>
      </c>
      <c r="T81" s="1" t="str">
        <f>_xlfn.LET(_xlpm.mfcname,_xlfn.XLOOKUP(A81,'Data Set 2 - Vehicles'!$A$2:$A$158,'Data Set 2 - Vehicles'!$D$2:$D$158,"NF",0,-1),_xlpm.mdlname,_xlfn.XLOOKUP(A81,'Data Set 2 - Vehicles'!$A$2:$A$158,'Data Set 2 - Vehicles'!$E$2:$E$158,"NF",0,-1),_xlpm.vehcilename,_xlfn.CONCAT(_xlpm.mfcname," ",_xlpm.mdlname),IF(S81="Has No Vehicle","Has No Vehicle",IF(S81="Has Only One Vehicle","Has Only One Vehicle",IF(_xlpm.vehcilename="NF NF","Not Found",_xlpm.vehcilename))))</f>
        <v>Saturn SW</v>
      </c>
      <c r="U81" s="24">
        <f>_xlfn.LET(_xlpm.vserdate,_xlfn.XLOOKUP(A81,'Data Set 2 - Vehicles'!$A$2:$A$158,'Data Set 2 - Vehicles'!$O$2:$O$158,"NF",0,-1), IF(OR('Data Set 1'!S81="Has No Vehicle",'Data Set 1'!S81="Has Only One Vehicle"),'Data Set 1'!S81,_xlpm.vserdate))</f>
        <v>44576</v>
      </c>
      <c r="V81" s="1">
        <f>SUMIF('Data Set 2 - Vehicles'!$A$2:$A$158,'Data Set 1'!A81,'Data Set 2 - Vehicles'!$Q$2:$Q$158)</f>
        <v>296487</v>
      </c>
      <c r="W81" s="5">
        <f>_xlfn.LET(_xlpm.maxdate,_xlfn.MAXIFS('Data Set 2 - Vehicles'!$O$2:$O$158,'Data Set 2 - Vehicles'!$A$2:$A$158,'Data Set 1'!A81),IF(_xlpm.maxdate=0,"",_xlpm.maxdate))</f>
        <v>44576</v>
      </c>
      <c r="X81" s="1" t="str">
        <f t="shared" ca="1" si="7"/>
        <v>InActive</v>
      </c>
      <c r="Y8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82" spans="1:25" ht="12.75" x14ac:dyDescent="0.35">
      <c r="A82" s="15">
        <v>1217</v>
      </c>
      <c r="B82" s="1" t="s">
        <v>801</v>
      </c>
      <c r="C82" s="1" t="s">
        <v>802</v>
      </c>
      <c r="D82" s="7"/>
      <c r="E82" s="1" t="s">
        <v>803</v>
      </c>
      <c r="F82" s="1" t="s">
        <v>804</v>
      </c>
      <c r="G82" s="11" t="s">
        <v>524</v>
      </c>
      <c r="H82" s="11">
        <v>19320</v>
      </c>
      <c r="I82" s="1" t="str">
        <f t="shared" si="4"/>
        <v>Freeman Gochal</v>
      </c>
      <c r="J82" s="1" t="str">
        <f t="shared" si="5"/>
        <v>Freeman Gochal</v>
      </c>
      <c r="K82" s="1" t="str">
        <f t="shared" si="6"/>
        <v>383</v>
      </c>
      <c r="L82" s="1" t="str">
        <f>VLOOKUP(A82,'Data Set 3 - Contacts'!$A$2:$F$136,5,FALSE)</f>
        <v>6104763501</v>
      </c>
      <c r="M82" s="1" t="str">
        <f>VLOOKUP(A82,'Data Set 3 - Contacts'!$A$2:$F$136,6,FALSE)</f>
        <v>6107522683</v>
      </c>
      <c r="N82" s="1" t="str">
        <f>VLOOKUP(A82,'Data Set 3 - Contacts'!$A$2:$F$136,4,FALSE)</f>
        <v>freeman_gochal@aol.com</v>
      </c>
      <c r="O82" s="1">
        <f>_xlfn.XLOOKUP(A82,'Data Set 2 - Vehicles'!$A$2:$A$158,'Data Set 2 - Vehicles'!$B$2:$B$158,0,0,-1)</f>
        <v>1</v>
      </c>
      <c r="P82" s="1" t="str">
        <f>_xlfn.XLOOKUP(A82,'Data Set 2 - Vehicles'!$A$2:$A$158,'Data Set 2 - Vehicles'!$E$2:$E$158,"Not Found",0,1)</f>
        <v>Cherokee</v>
      </c>
      <c r="Q82" s="1" t="str">
        <f>IF(_xlfn.CONCAT(_xlfn.XLOOKUP(A82,'Data Set 2 - Vehicles'!$A$2:$A$158,'Data Set 2 - Vehicles'!$D$2:$D$158,"Not Found",0,1)," ",_xlfn.XLOOKUP(A82,'Data Set 2 - Vehicles'!$A$2:$A$158,'Data Set 2 - Vehicles'!$E$2:$E$158,"Not Found",0,1))="Not Found Not Found", "Not Found",_xlfn.CONCAT(_xlfn.XLOOKUP(A82,'Data Set 2 - Vehicles'!$A$2:$A$158,'Data Set 2 - Vehicles'!$D$2:$D$158,"Not Found",0,1)," ",_xlfn.XLOOKUP(A82,'Data Set 2 - Vehicles'!$A$2:$A$158,'Data Set 2 - Vehicles'!$E$2:$E$158,"Not Found",0,1)))</f>
        <v>Jeep Cherokee</v>
      </c>
      <c r="R82" s="5">
        <f>_xlfn.XLOOKUP(A82,'Data Set 2 - Vehicles'!$A$2:$A$158,'Data Set 2 - Vehicles'!$O$2:$O$158,"",0,1)</f>
        <v>43743</v>
      </c>
      <c r="S82" s="1" t="str">
        <f>IF(_xlfn.XLOOKUP(A82,'Data Set 2 - Vehicles'!$A$2:$A$158,'Data Set 2 - Vehicles'!$E$2:$E$158,"Has No Vehicle",0,-1)=P82,"Has Only One Vehicle",_xlfn.XLOOKUP(A82,'Data Set 2 - Vehicles'!$A$2:$A$158,'Data Set 2 - Vehicles'!$E$2:$E$158,"Has No Vehcile",0,-1))</f>
        <v>Has Only One Vehicle</v>
      </c>
      <c r="T82" s="1" t="str">
        <f>_xlfn.LET(_xlpm.mfcname,_xlfn.XLOOKUP(A82,'Data Set 2 - Vehicles'!$A$2:$A$158,'Data Set 2 - Vehicles'!$D$2:$D$158,"NF",0,-1),_xlpm.mdlname,_xlfn.XLOOKUP(A82,'Data Set 2 - Vehicles'!$A$2:$A$158,'Data Set 2 - Vehicles'!$E$2:$E$158,"NF",0,-1),_xlpm.vehcilename,_xlfn.CONCAT(_xlpm.mfcname," ",_xlpm.mdlname),IF(S82="Has No Vehicle","Has No Vehicle",IF(S82="Has Only One Vehicle","Has Only One Vehicle",IF(_xlpm.vehcilename="NF NF","Not Found",_xlpm.vehcilename))))</f>
        <v>Has Only One Vehicle</v>
      </c>
      <c r="U82" s="24" t="str">
        <f>_xlfn.LET(_xlpm.vserdate,_xlfn.XLOOKUP(A82,'Data Set 2 - Vehicles'!$A$2:$A$158,'Data Set 2 - Vehicles'!$O$2:$O$158,"NF",0,-1), IF(OR('Data Set 1'!S82="Has No Vehicle",'Data Set 1'!S82="Has Only One Vehicle"),'Data Set 1'!S82,_xlpm.vserdate))</f>
        <v>Has Only One Vehicle</v>
      </c>
      <c r="V82" s="1">
        <f>SUMIF('Data Set 2 - Vehicles'!$A$2:$A$158,'Data Set 1'!A82,'Data Set 2 - Vehicles'!$Q$2:$Q$158)</f>
        <v>86076</v>
      </c>
      <c r="W82" s="5">
        <f>_xlfn.LET(_xlpm.maxdate,_xlfn.MAXIFS('Data Set 2 - Vehicles'!$O$2:$O$158,'Data Set 2 - Vehicles'!$A$2:$A$158,'Data Set 1'!A82),IF(_xlpm.maxdate=0,"",_xlpm.maxdate))</f>
        <v>43743</v>
      </c>
      <c r="X82" s="1" t="str">
        <f t="shared" ca="1" si="7"/>
        <v>InActive</v>
      </c>
      <c r="Y8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83" spans="1:25" ht="12.75" x14ac:dyDescent="0.35">
      <c r="A83" s="17">
        <v>1010</v>
      </c>
      <c r="B83" s="1" t="s">
        <v>806</v>
      </c>
      <c r="C83" s="1" t="s">
        <v>807</v>
      </c>
      <c r="D83" s="7"/>
      <c r="E83" s="1" t="s">
        <v>808</v>
      </c>
      <c r="F83" s="1" t="s">
        <v>707</v>
      </c>
      <c r="G83" s="11" t="s">
        <v>495</v>
      </c>
      <c r="H83" s="11">
        <v>21224</v>
      </c>
      <c r="I83" s="1" t="str">
        <f t="shared" si="4"/>
        <v>Kris Marrier</v>
      </c>
      <c r="J83" s="1" t="str">
        <f t="shared" si="5"/>
        <v>Kris Marrier</v>
      </c>
      <c r="K83" s="1" t="str">
        <f t="shared" si="6"/>
        <v>228</v>
      </c>
      <c r="L83" s="1" t="str">
        <f>VLOOKUP(A83,'Data Set 3 - Contacts'!$A$2:$F$136,5,FALSE)</f>
        <v>4106558723</v>
      </c>
      <c r="M83" s="1" t="str">
        <f>VLOOKUP(A83,'Data Set 3 - Contacts'!$A$2:$F$136,6,FALSE)</f>
        <v/>
      </c>
      <c r="N83" s="1" t="str">
        <f>VLOOKUP(A83,'Data Set 3 - Contacts'!$A$2:$F$136,4,FALSE)</f>
        <v>kris@gmail.com</v>
      </c>
      <c r="O83" s="1">
        <f>_xlfn.XLOOKUP(A83,'Data Set 2 - Vehicles'!$A$2:$A$158,'Data Set 2 - Vehicles'!$B$2:$B$158,0,0,-1)</f>
        <v>1</v>
      </c>
      <c r="P83" s="1" t="str">
        <f>_xlfn.XLOOKUP(A83,'Data Set 2 - Vehicles'!$A$2:$A$158,'Data Set 2 - Vehicles'!$E$2:$E$158,"Not Found",0,1)</f>
        <v>Cirrus</v>
      </c>
      <c r="Q83" s="1" t="str">
        <f>IF(_xlfn.CONCAT(_xlfn.XLOOKUP(A83,'Data Set 2 - Vehicles'!$A$2:$A$158,'Data Set 2 - Vehicles'!$D$2:$D$158,"Not Found",0,1)," ",_xlfn.XLOOKUP(A83,'Data Set 2 - Vehicles'!$A$2:$A$158,'Data Set 2 - Vehicles'!$E$2:$E$158,"Not Found",0,1))="Not Found Not Found", "Not Found",_xlfn.CONCAT(_xlfn.XLOOKUP(A83,'Data Set 2 - Vehicles'!$A$2:$A$158,'Data Set 2 - Vehicles'!$D$2:$D$158,"Not Found",0,1)," ",_xlfn.XLOOKUP(A83,'Data Set 2 - Vehicles'!$A$2:$A$158,'Data Set 2 - Vehicles'!$E$2:$E$158,"Not Found",0,1)))</f>
        <v>Chrysler Cirrus</v>
      </c>
      <c r="R83" s="5">
        <f>_xlfn.XLOOKUP(A83,'Data Set 2 - Vehicles'!$A$2:$A$158,'Data Set 2 - Vehicles'!$O$2:$O$158,"",0,1)</f>
        <v>42649</v>
      </c>
      <c r="S83" s="1" t="str">
        <f>IF(_xlfn.XLOOKUP(A83,'Data Set 2 - Vehicles'!$A$2:$A$158,'Data Set 2 - Vehicles'!$E$2:$E$158,"Has No Vehicle",0,-1)=P83,"Has Only One Vehicle",_xlfn.XLOOKUP(A83,'Data Set 2 - Vehicles'!$A$2:$A$158,'Data Set 2 - Vehicles'!$E$2:$E$158,"Has No Vehcile",0,-1))</f>
        <v>Has Only One Vehicle</v>
      </c>
      <c r="T83" s="1" t="str">
        <f>_xlfn.LET(_xlpm.mfcname,_xlfn.XLOOKUP(A83,'Data Set 2 - Vehicles'!$A$2:$A$158,'Data Set 2 - Vehicles'!$D$2:$D$158,"NF",0,-1),_xlpm.mdlname,_xlfn.XLOOKUP(A83,'Data Set 2 - Vehicles'!$A$2:$A$158,'Data Set 2 - Vehicles'!$E$2:$E$158,"NF",0,-1),_xlpm.vehcilename,_xlfn.CONCAT(_xlpm.mfcname," ",_xlpm.mdlname),IF(S83="Has No Vehicle","Has No Vehicle",IF(S83="Has Only One Vehicle","Has Only One Vehicle",IF(_xlpm.vehcilename="NF NF","Not Found",_xlpm.vehcilename))))</f>
        <v>Has Only One Vehicle</v>
      </c>
      <c r="U83" s="24" t="str">
        <f>_xlfn.LET(_xlpm.vserdate,_xlfn.XLOOKUP(A83,'Data Set 2 - Vehicles'!$A$2:$A$158,'Data Set 2 - Vehicles'!$O$2:$O$158,"NF",0,-1), IF(OR('Data Set 1'!S83="Has No Vehicle",'Data Set 1'!S83="Has Only One Vehicle"),'Data Set 1'!S83,_xlpm.vserdate))</f>
        <v>Has Only One Vehicle</v>
      </c>
      <c r="V83" s="1">
        <f>SUMIF('Data Set 2 - Vehicles'!$A$2:$A$158,'Data Set 1'!A83,'Data Set 2 - Vehicles'!$Q$2:$Q$158)</f>
        <v>246544</v>
      </c>
      <c r="W83" s="5">
        <f>_xlfn.LET(_xlpm.maxdate,_xlfn.MAXIFS('Data Set 2 - Vehicles'!$O$2:$O$158,'Data Set 2 - Vehicles'!$A$2:$A$158,'Data Set 1'!A83),IF(_xlpm.maxdate=0,"",_xlpm.maxdate))</f>
        <v>42649</v>
      </c>
      <c r="X83" s="1" t="str">
        <f t="shared" ca="1" si="7"/>
        <v>InActive</v>
      </c>
      <c r="Y8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84" spans="1:25" ht="12.75" x14ac:dyDescent="0.35">
      <c r="A84" s="17">
        <v>1049</v>
      </c>
      <c r="B84" s="1"/>
      <c r="C84" s="1"/>
      <c r="D84" s="7" t="s">
        <v>811</v>
      </c>
      <c r="E84" s="1" t="s">
        <v>812</v>
      </c>
      <c r="F84" s="1" t="s">
        <v>634</v>
      </c>
      <c r="G84" s="11" t="s">
        <v>610</v>
      </c>
      <c r="H84" s="11">
        <v>53711</v>
      </c>
      <c r="I84" s="1" t="str">
        <f t="shared" si="4"/>
        <v xml:space="preserve"> </v>
      </c>
      <c r="J84" s="1" t="str">
        <f t="shared" si="5"/>
        <v>Knights Inn</v>
      </c>
      <c r="K84" s="1" t="str">
        <f t="shared" si="6"/>
        <v>762</v>
      </c>
      <c r="L84" s="1" t="str">
        <f>VLOOKUP(A84,'Data Set 3 - Contacts'!$A$2:$F$136,5,FALSE)</f>
        <v>6083367444</v>
      </c>
      <c r="M84" s="1" t="str">
        <f>VLOOKUP(A84,'Data Set 3 - Contacts'!$A$2:$F$136,6,FALSE)</f>
        <v>6086587940</v>
      </c>
      <c r="N84" s="1" t="str">
        <f>VLOOKUP(A84,'Data Set 3 - Contacts'!$A$2:$F$136,4,FALSE)</f>
        <v>emerson.bowley@bowley.org</v>
      </c>
      <c r="O84" s="1">
        <f>_xlfn.XLOOKUP(A84,'Data Set 2 - Vehicles'!$A$2:$A$158,'Data Set 2 - Vehicles'!$B$2:$B$158,0,0,-1)</f>
        <v>1</v>
      </c>
      <c r="P84" s="1" t="str">
        <f>_xlfn.XLOOKUP(A84,'Data Set 2 - Vehicles'!$A$2:$A$158,'Data Set 2 - Vehicles'!$E$2:$E$158,"Not Found",0,1)</f>
        <v>Alero</v>
      </c>
      <c r="Q84" s="1" t="str">
        <f>IF(_xlfn.CONCAT(_xlfn.XLOOKUP(A84,'Data Set 2 - Vehicles'!$A$2:$A$158,'Data Set 2 - Vehicles'!$D$2:$D$158,"Not Found",0,1)," ",_xlfn.XLOOKUP(A84,'Data Set 2 - Vehicles'!$A$2:$A$158,'Data Set 2 - Vehicles'!$E$2:$E$158,"Not Found",0,1))="Not Found Not Found", "Not Found",_xlfn.CONCAT(_xlfn.XLOOKUP(A84,'Data Set 2 - Vehicles'!$A$2:$A$158,'Data Set 2 - Vehicles'!$D$2:$D$158,"Not Found",0,1)," ",_xlfn.XLOOKUP(A84,'Data Set 2 - Vehicles'!$A$2:$A$158,'Data Set 2 - Vehicles'!$E$2:$E$158,"Not Found",0,1)))</f>
        <v>Oldsmobile Alero</v>
      </c>
      <c r="R84" s="5">
        <f>_xlfn.XLOOKUP(A84,'Data Set 2 - Vehicles'!$A$2:$A$158,'Data Set 2 - Vehicles'!$O$2:$O$158,"",0,1)</f>
        <v>43758</v>
      </c>
      <c r="S84" s="1" t="str">
        <f>IF(_xlfn.XLOOKUP(A84,'Data Set 2 - Vehicles'!$A$2:$A$158,'Data Set 2 - Vehicles'!$E$2:$E$158,"Has No Vehicle",0,-1)=P84,"Has Only One Vehicle",_xlfn.XLOOKUP(A84,'Data Set 2 - Vehicles'!$A$2:$A$158,'Data Set 2 - Vehicles'!$E$2:$E$158,"Has No Vehcile",0,-1))</f>
        <v>Has Only One Vehicle</v>
      </c>
      <c r="T84" s="1" t="str">
        <f>_xlfn.LET(_xlpm.mfcname,_xlfn.XLOOKUP(A84,'Data Set 2 - Vehicles'!$A$2:$A$158,'Data Set 2 - Vehicles'!$D$2:$D$158,"NF",0,-1),_xlpm.mdlname,_xlfn.XLOOKUP(A84,'Data Set 2 - Vehicles'!$A$2:$A$158,'Data Set 2 - Vehicles'!$E$2:$E$158,"NF",0,-1),_xlpm.vehcilename,_xlfn.CONCAT(_xlpm.mfcname," ",_xlpm.mdlname),IF(S84="Has No Vehicle","Has No Vehicle",IF(S84="Has Only One Vehicle","Has Only One Vehicle",IF(_xlpm.vehcilename="NF NF","Not Found",_xlpm.vehcilename))))</f>
        <v>Has Only One Vehicle</v>
      </c>
      <c r="U84" s="24" t="str">
        <f>_xlfn.LET(_xlpm.vserdate,_xlfn.XLOOKUP(A84,'Data Set 2 - Vehicles'!$A$2:$A$158,'Data Set 2 - Vehicles'!$O$2:$O$158,"NF",0,-1), IF(OR('Data Set 1'!S84="Has No Vehicle",'Data Set 1'!S84="Has Only One Vehicle"),'Data Set 1'!S84,_xlpm.vserdate))</f>
        <v>Has Only One Vehicle</v>
      </c>
      <c r="V84" s="1">
        <f>SUMIF('Data Set 2 - Vehicles'!$A$2:$A$158,'Data Set 1'!A84,'Data Set 2 - Vehicles'!$Q$2:$Q$158)</f>
        <v>225246</v>
      </c>
      <c r="W84" s="5">
        <f>_xlfn.LET(_xlpm.maxdate,_xlfn.MAXIFS('Data Set 2 - Vehicles'!$O$2:$O$158,'Data Set 2 - Vehicles'!$A$2:$A$158,'Data Set 1'!A84),IF(_xlpm.maxdate=0,"",_xlpm.maxdate))</f>
        <v>43758</v>
      </c>
      <c r="X84" s="1" t="str">
        <f t="shared" ca="1" si="7"/>
        <v>InActive</v>
      </c>
      <c r="Y8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85" spans="1:25" ht="12.75" x14ac:dyDescent="0.35">
      <c r="A85" s="15">
        <v>1033</v>
      </c>
      <c r="B85" s="1"/>
      <c r="C85" s="1"/>
      <c r="D85" s="7" t="s">
        <v>811</v>
      </c>
      <c r="E85" s="1" t="s">
        <v>814</v>
      </c>
      <c r="F85" s="1" t="s">
        <v>815</v>
      </c>
      <c r="G85" s="11" t="s">
        <v>419</v>
      </c>
      <c r="H85" s="11">
        <v>7660</v>
      </c>
      <c r="I85" s="1" t="str">
        <f t="shared" si="4"/>
        <v xml:space="preserve"> </v>
      </c>
      <c r="J85" s="1" t="str">
        <f t="shared" si="5"/>
        <v>Knights Inn</v>
      </c>
      <c r="K85" s="1" t="str">
        <f t="shared" si="6"/>
        <v>45</v>
      </c>
      <c r="L85" s="1" t="str">
        <f>VLOOKUP(A85,'Data Set 3 - Contacts'!$A$2:$F$136,5,FALSE)</f>
        <v>2017096245</v>
      </c>
      <c r="M85" s="1" t="str">
        <f>VLOOKUP(A85,'Data Set 3 - Contacts'!$A$2:$F$136,6,FALSE)</f>
        <v>2013879093</v>
      </c>
      <c r="N85" s="1" t="str">
        <f>VLOOKUP(A85,'Data Set 3 - Contacts'!$A$2:$F$136,4,FALSE)</f>
        <v>ernie_stenseth@aol.com</v>
      </c>
      <c r="O85" s="1">
        <f>_xlfn.XLOOKUP(A85,'Data Set 2 - Vehicles'!$A$2:$A$158,'Data Set 2 - Vehicles'!$B$2:$B$158,0,0,-1)</f>
        <v>1</v>
      </c>
      <c r="P85" s="1" t="str">
        <f>_xlfn.XLOOKUP(A85,'Data Set 2 - Vehicles'!$A$2:$A$158,'Data Set 2 - Vehicles'!$E$2:$E$158,"Not Found",0,1)</f>
        <v>Stratus</v>
      </c>
      <c r="Q85" s="1" t="str">
        <f>IF(_xlfn.CONCAT(_xlfn.XLOOKUP(A85,'Data Set 2 - Vehicles'!$A$2:$A$158,'Data Set 2 - Vehicles'!$D$2:$D$158,"Not Found",0,1)," ",_xlfn.XLOOKUP(A85,'Data Set 2 - Vehicles'!$A$2:$A$158,'Data Set 2 - Vehicles'!$E$2:$E$158,"Not Found",0,1))="Not Found Not Found", "Not Found",_xlfn.CONCAT(_xlfn.XLOOKUP(A85,'Data Set 2 - Vehicles'!$A$2:$A$158,'Data Set 2 - Vehicles'!$D$2:$D$158,"Not Found",0,1)," ",_xlfn.XLOOKUP(A85,'Data Set 2 - Vehicles'!$A$2:$A$158,'Data Set 2 - Vehicles'!$E$2:$E$158,"Not Found",0,1)))</f>
        <v>Dodge Stratus</v>
      </c>
      <c r="R85" s="5">
        <f>_xlfn.XLOOKUP(A85,'Data Set 2 - Vehicles'!$A$2:$A$158,'Data Set 2 - Vehicles'!$O$2:$O$158,"",0,1)</f>
        <v>40482</v>
      </c>
      <c r="S85" s="1" t="str">
        <f>IF(_xlfn.XLOOKUP(A85,'Data Set 2 - Vehicles'!$A$2:$A$158,'Data Set 2 - Vehicles'!$E$2:$E$158,"Has No Vehicle",0,-1)=P85,"Has Only One Vehicle",_xlfn.XLOOKUP(A85,'Data Set 2 - Vehicles'!$A$2:$A$158,'Data Set 2 - Vehicles'!$E$2:$E$158,"Has No Vehcile",0,-1))</f>
        <v>Has Only One Vehicle</v>
      </c>
      <c r="T85" s="1" t="str">
        <f>_xlfn.LET(_xlpm.mfcname,_xlfn.XLOOKUP(A85,'Data Set 2 - Vehicles'!$A$2:$A$158,'Data Set 2 - Vehicles'!$D$2:$D$158,"NF",0,-1),_xlpm.mdlname,_xlfn.XLOOKUP(A85,'Data Set 2 - Vehicles'!$A$2:$A$158,'Data Set 2 - Vehicles'!$E$2:$E$158,"NF",0,-1),_xlpm.vehcilename,_xlfn.CONCAT(_xlpm.mfcname," ",_xlpm.mdlname),IF(S85="Has No Vehicle","Has No Vehicle",IF(S85="Has Only One Vehicle","Has Only One Vehicle",IF(_xlpm.vehcilename="NF NF","Not Found",_xlpm.vehcilename))))</f>
        <v>Has Only One Vehicle</v>
      </c>
      <c r="U85" s="24" t="str">
        <f>_xlfn.LET(_xlpm.vserdate,_xlfn.XLOOKUP(A85,'Data Set 2 - Vehicles'!$A$2:$A$158,'Data Set 2 - Vehicles'!$O$2:$O$158,"NF",0,-1), IF(OR('Data Set 1'!S85="Has No Vehicle",'Data Set 1'!S85="Has Only One Vehicle"),'Data Set 1'!S85,_xlpm.vserdate))</f>
        <v>Has Only One Vehicle</v>
      </c>
      <c r="V85" s="1">
        <f>SUMIF('Data Set 2 - Vehicles'!$A$2:$A$158,'Data Set 1'!A85,'Data Set 2 - Vehicles'!$Q$2:$Q$158)</f>
        <v>49336</v>
      </c>
      <c r="W85" s="5">
        <f>_xlfn.LET(_xlpm.maxdate,_xlfn.MAXIFS('Data Set 2 - Vehicles'!$O$2:$O$158,'Data Set 2 - Vehicles'!$A$2:$A$158,'Data Set 1'!A85),IF(_xlpm.maxdate=0,"",_xlpm.maxdate))</f>
        <v>40482</v>
      </c>
      <c r="X85" s="1" t="str">
        <f t="shared" ca="1" si="7"/>
        <v>InActive</v>
      </c>
      <c r="Y8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86" spans="1:25" ht="12.75" x14ac:dyDescent="0.35">
      <c r="A86" s="15">
        <v>1166</v>
      </c>
      <c r="B86" s="1" t="s">
        <v>817</v>
      </c>
      <c r="C86" s="1" t="s">
        <v>818</v>
      </c>
      <c r="D86" s="7" t="s">
        <v>819</v>
      </c>
      <c r="E86" s="1" t="s">
        <v>820</v>
      </c>
      <c r="F86" s="1" t="s">
        <v>770</v>
      </c>
      <c r="G86" s="11" t="s">
        <v>772</v>
      </c>
      <c r="H86" s="11">
        <v>83704</v>
      </c>
      <c r="I86" s="1" t="str">
        <f t="shared" si="4"/>
        <v>Dorthy Hidvegi</v>
      </c>
      <c r="J86" s="1" t="str">
        <f t="shared" si="5"/>
        <v>Dorthy Hidvegi</v>
      </c>
      <c r="K86" s="1" t="str">
        <f t="shared" si="6"/>
        <v>9635</v>
      </c>
      <c r="L86" s="1" t="str">
        <f>VLOOKUP(A86,'Data Set 3 - Contacts'!$A$2:$F$136,5,FALSE)</f>
        <v>2086492373</v>
      </c>
      <c r="M86" s="1" t="str">
        <f>VLOOKUP(A86,'Data Set 3 - Contacts'!$A$2:$F$136,6,FALSE)</f>
        <v>2086903315</v>
      </c>
      <c r="N86" s="1" t="str">
        <f>VLOOKUP(A86,'Data Set 3 - Contacts'!$A$2:$F$136,4,FALSE)</f>
        <v>dhidvegi@yahoo.com</v>
      </c>
      <c r="O86" s="1">
        <f>_xlfn.XLOOKUP(A86,'Data Set 2 - Vehicles'!$A$2:$A$158,'Data Set 2 - Vehicles'!$B$2:$B$158,0,0,-1)</f>
        <v>2</v>
      </c>
      <c r="P86" s="1" t="str">
        <f>_xlfn.XLOOKUP(A86,'Data Set 2 - Vehicles'!$A$2:$A$158,'Data Set 2 - Vehicles'!$E$2:$E$158,"Not Found",0,1)</f>
        <v>Caravan</v>
      </c>
      <c r="Q86" s="1" t="str">
        <f>IF(_xlfn.CONCAT(_xlfn.XLOOKUP(A86,'Data Set 2 - Vehicles'!$A$2:$A$158,'Data Set 2 - Vehicles'!$D$2:$D$158,"Not Found",0,1)," ",_xlfn.XLOOKUP(A86,'Data Set 2 - Vehicles'!$A$2:$A$158,'Data Set 2 - Vehicles'!$E$2:$E$158,"Not Found",0,1))="Not Found Not Found", "Not Found",_xlfn.CONCAT(_xlfn.XLOOKUP(A86,'Data Set 2 - Vehicles'!$A$2:$A$158,'Data Set 2 - Vehicles'!$D$2:$D$158,"Not Found",0,1)," ",_xlfn.XLOOKUP(A86,'Data Set 2 - Vehicles'!$A$2:$A$158,'Data Set 2 - Vehicles'!$E$2:$E$158,"Not Found",0,1)))</f>
        <v>Dodge Caravan</v>
      </c>
      <c r="R86" s="5">
        <f>_xlfn.XLOOKUP(A86,'Data Set 2 - Vehicles'!$A$2:$A$158,'Data Set 2 - Vehicles'!$O$2:$O$158,"",0,1)</f>
        <v>43344</v>
      </c>
      <c r="S86" s="1" t="str">
        <f>IF(_xlfn.XLOOKUP(A86,'Data Set 2 - Vehicles'!$A$2:$A$158,'Data Set 2 - Vehicles'!$E$2:$E$158,"Has No Vehicle",0,-1)=P86,"Has Only One Vehicle",_xlfn.XLOOKUP(A86,'Data Set 2 - Vehicles'!$A$2:$A$158,'Data Set 2 - Vehicles'!$E$2:$E$158,"Has No Vehcile",0,-1))</f>
        <v>TL</v>
      </c>
      <c r="T86" s="1" t="str">
        <f>_xlfn.LET(_xlpm.mfcname,_xlfn.XLOOKUP(A86,'Data Set 2 - Vehicles'!$A$2:$A$158,'Data Set 2 - Vehicles'!$D$2:$D$158,"NF",0,-1),_xlpm.mdlname,_xlfn.XLOOKUP(A86,'Data Set 2 - Vehicles'!$A$2:$A$158,'Data Set 2 - Vehicles'!$E$2:$E$158,"NF",0,-1),_xlpm.vehcilename,_xlfn.CONCAT(_xlpm.mfcname," ",_xlpm.mdlname),IF(S86="Has No Vehicle","Has No Vehicle",IF(S86="Has Only One Vehicle","Has Only One Vehicle",IF(_xlpm.vehcilename="NF NF","Not Found",_xlpm.vehcilename))))</f>
        <v>Acura TL</v>
      </c>
      <c r="U86" s="24">
        <f>_xlfn.LET(_xlpm.vserdate,_xlfn.XLOOKUP(A86,'Data Set 2 - Vehicles'!$A$2:$A$158,'Data Set 2 - Vehicles'!$O$2:$O$158,"NF",0,-1), IF(OR('Data Set 1'!S86="Has No Vehicle",'Data Set 1'!S86="Has Only One Vehicle"),'Data Set 1'!S86,_xlpm.vserdate))</f>
        <v>42158</v>
      </c>
      <c r="V86" s="1">
        <f>SUMIF('Data Set 2 - Vehicles'!$A$2:$A$158,'Data Set 1'!A86,'Data Set 2 - Vehicles'!$Q$2:$Q$158)</f>
        <v>299324</v>
      </c>
      <c r="W86" s="5">
        <f>_xlfn.LET(_xlpm.maxdate,_xlfn.MAXIFS('Data Set 2 - Vehicles'!$O$2:$O$158,'Data Set 2 - Vehicles'!$A$2:$A$158,'Data Set 1'!A86),IF(_xlpm.maxdate=0,"",_xlpm.maxdate))</f>
        <v>43344</v>
      </c>
      <c r="X86" s="1" t="str">
        <f t="shared" ca="1" si="7"/>
        <v>InActive</v>
      </c>
      <c r="Y8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87" spans="1:25" ht="12.75" x14ac:dyDescent="0.35">
      <c r="A87" s="15">
        <v>1494</v>
      </c>
      <c r="B87" s="1"/>
      <c r="C87" s="1"/>
      <c r="D87" s="7" t="s">
        <v>823</v>
      </c>
      <c r="E87" s="1" t="s">
        <v>824</v>
      </c>
      <c r="F87" s="1" t="s">
        <v>825</v>
      </c>
      <c r="G87" s="11" t="s">
        <v>826</v>
      </c>
      <c r="H87" s="11">
        <v>20001</v>
      </c>
      <c r="I87" s="1" t="str">
        <f t="shared" si="4"/>
        <v xml:space="preserve"> </v>
      </c>
      <c r="J87" s="1" t="str">
        <f t="shared" si="5"/>
        <v>Kwikprint</v>
      </c>
      <c r="K87" s="1" t="str">
        <f t="shared" si="6"/>
        <v>9</v>
      </c>
      <c r="L87" s="1" t="str">
        <f>VLOOKUP(A87,'Data Set 3 - Contacts'!$A$2:$F$136,5,FALSE)</f>
        <v>2026467516</v>
      </c>
      <c r="M87" s="1" t="str">
        <f>VLOOKUP(A87,'Data Set 3 - Contacts'!$A$2:$F$136,6,FALSE)</f>
        <v>2022766826</v>
      </c>
      <c r="N87" s="1" t="str">
        <f>VLOOKUP(A87,'Data Set 3 - Contacts'!$A$2:$F$136,4,FALSE)</f>
        <v>alesia_hixenbaugh@hixenbaugh.org</v>
      </c>
      <c r="O87" s="1">
        <f>_xlfn.XLOOKUP(A87,'Data Set 2 - Vehicles'!$A$2:$A$158,'Data Set 2 - Vehicles'!$B$2:$B$158,0,0,-1)</f>
        <v>2</v>
      </c>
      <c r="P87" s="1" t="str">
        <f>_xlfn.XLOOKUP(A87,'Data Set 2 - Vehicles'!$A$2:$A$158,'Data Set 2 - Vehicles'!$E$2:$E$158,"Not Found",0,1)</f>
        <v>Boxter</v>
      </c>
      <c r="Q87" s="1" t="str">
        <f>IF(_xlfn.CONCAT(_xlfn.XLOOKUP(A87,'Data Set 2 - Vehicles'!$A$2:$A$158,'Data Set 2 - Vehicles'!$D$2:$D$158,"Not Found",0,1)," ",_xlfn.XLOOKUP(A87,'Data Set 2 - Vehicles'!$A$2:$A$158,'Data Set 2 - Vehicles'!$E$2:$E$158,"Not Found",0,1))="Not Found Not Found", "Not Found",_xlfn.CONCAT(_xlfn.XLOOKUP(A87,'Data Set 2 - Vehicles'!$A$2:$A$158,'Data Set 2 - Vehicles'!$D$2:$D$158,"Not Found",0,1)," ",_xlfn.XLOOKUP(A87,'Data Set 2 - Vehicles'!$A$2:$A$158,'Data Set 2 - Vehicles'!$E$2:$E$158,"Not Found",0,1)))</f>
        <v>Porsche Boxter</v>
      </c>
      <c r="R87" s="5">
        <f>_xlfn.XLOOKUP(A87,'Data Set 2 - Vehicles'!$A$2:$A$158,'Data Set 2 - Vehicles'!$O$2:$O$158,"",0,1)</f>
        <v>45707</v>
      </c>
      <c r="S87" s="1" t="str">
        <f>IF(_xlfn.XLOOKUP(A87,'Data Set 2 - Vehicles'!$A$2:$A$158,'Data Set 2 - Vehicles'!$E$2:$E$158,"Has No Vehicle",0,-1)=P87,"Has Only One Vehicle",_xlfn.XLOOKUP(A87,'Data Set 2 - Vehicles'!$A$2:$A$158,'Data Set 2 - Vehicles'!$E$2:$E$158,"Has No Vehcile",0,-1))</f>
        <v>Cabrio</v>
      </c>
      <c r="T87" s="1" t="str">
        <f>_xlfn.LET(_xlpm.mfcname,_xlfn.XLOOKUP(A87,'Data Set 2 - Vehicles'!$A$2:$A$158,'Data Set 2 - Vehicles'!$D$2:$D$158,"NF",0,-1),_xlpm.mdlname,_xlfn.XLOOKUP(A87,'Data Set 2 - Vehicles'!$A$2:$A$158,'Data Set 2 - Vehicles'!$E$2:$E$158,"NF",0,-1),_xlpm.vehcilename,_xlfn.CONCAT(_xlpm.mfcname," ",_xlpm.mdlname),IF(S87="Has No Vehicle","Has No Vehicle",IF(S87="Has Only One Vehicle","Has Only One Vehicle",IF(_xlpm.vehcilename="NF NF","Not Found",_xlpm.vehcilename))))</f>
        <v>Volkswagen Cabrio</v>
      </c>
      <c r="U87" s="24">
        <f>_xlfn.LET(_xlpm.vserdate,_xlfn.XLOOKUP(A87,'Data Set 2 - Vehicles'!$A$2:$A$158,'Data Set 2 - Vehicles'!$O$2:$O$158,"NF",0,-1), IF(OR('Data Set 1'!S87="Has No Vehicle",'Data Set 1'!S87="Has Only One Vehicle"),'Data Set 1'!S87,_xlpm.vserdate))</f>
        <v>38503</v>
      </c>
      <c r="V87" s="1">
        <f>SUMIF('Data Set 2 - Vehicles'!$A$2:$A$158,'Data Set 1'!A87,'Data Set 2 - Vehicles'!$Q$2:$Q$158)</f>
        <v>323095</v>
      </c>
      <c r="W87" s="5">
        <f>_xlfn.LET(_xlpm.maxdate,_xlfn.MAXIFS('Data Set 2 - Vehicles'!$O$2:$O$158,'Data Set 2 - Vehicles'!$A$2:$A$158,'Data Set 1'!A87),IF(_xlpm.maxdate=0,"",_xlpm.maxdate))</f>
        <v>45707</v>
      </c>
      <c r="X87" s="1" t="str">
        <f t="shared" ca="1" si="7"/>
        <v>Active</v>
      </c>
      <c r="Y8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88" spans="1:25" ht="12.75" x14ac:dyDescent="0.35">
      <c r="A88" s="15">
        <v>1268</v>
      </c>
      <c r="B88" s="1"/>
      <c r="C88" s="1"/>
      <c r="D88" s="7" t="s">
        <v>828</v>
      </c>
      <c r="E88" s="1" t="s">
        <v>829</v>
      </c>
      <c r="F88" s="1" t="s">
        <v>830</v>
      </c>
      <c r="G88" s="11" t="s">
        <v>582</v>
      </c>
      <c r="H88" s="11">
        <v>44136</v>
      </c>
      <c r="I88" s="1" t="str">
        <f t="shared" si="4"/>
        <v xml:space="preserve"> </v>
      </c>
      <c r="J88" s="1" t="str">
        <f t="shared" si="5"/>
        <v>Larkfield Photo</v>
      </c>
      <c r="K88" s="1" t="str">
        <f t="shared" si="6"/>
        <v>944</v>
      </c>
      <c r="L88" s="1" t="str">
        <f>VLOOKUP(A88,'Data Set 3 - Contacts'!$A$2:$F$136,5,FALSE)</f>
        <v>4409895826</v>
      </c>
      <c r="M88" s="1" t="str">
        <f>VLOOKUP(A88,'Data Set 3 - Contacts'!$A$2:$F$136,6,FALSE)</f>
        <v>4403272093</v>
      </c>
      <c r="N88" s="1" t="str">
        <f>VLOOKUP(A88,'Data Set 3 - Contacts'!$A$2:$F$136,4,FALSE)</f>
        <v>buddy.cloney@yahoo.com</v>
      </c>
      <c r="O88" s="1">
        <f>_xlfn.XLOOKUP(A88,'Data Set 2 - Vehicles'!$A$2:$A$158,'Data Set 2 - Vehicles'!$B$2:$B$158,0,0,-1)</f>
        <v>1</v>
      </c>
      <c r="P88" s="1" t="str">
        <f>_xlfn.XLOOKUP(A88,'Data Set 2 - Vehicles'!$A$2:$A$158,'Data Set 2 - Vehicles'!$E$2:$E$158,"Not Found",0,1)</f>
        <v>SLK</v>
      </c>
      <c r="Q88" s="1" t="str">
        <f>IF(_xlfn.CONCAT(_xlfn.XLOOKUP(A88,'Data Set 2 - Vehicles'!$A$2:$A$158,'Data Set 2 - Vehicles'!$D$2:$D$158,"Not Found",0,1)," ",_xlfn.XLOOKUP(A88,'Data Set 2 - Vehicles'!$A$2:$A$158,'Data Set 2 - Vehicles'!$E$2:$E$158,"Not Found",0,1))="Not Found Not Found", "Not Found",_xlfn.CONCAT(_xlfn.XLOOKUP(A88,'Data Set 2 - Vehicles'!$A$2:$A$158,'Data Set 2 - Vehicles'!$D$2:$D$158,"Not Found",0,1)," ",_xlfn.XLOOKUP(A88,'Data Set 2 - Vehicles'!$A$2:$A$158,'Data Set 2 - Vehicles'!$E$2:$E$158,"Not Found",0,1)))</f>
        <v>Mercedes-B SLK</v>
      </c>
      <c r="R88" s="5">
        <f>_xlfn.XLOOKUP(A88,'Data Set 2 - Vehicles'!$A$2:$A$158,'Data Set 2 - Vehicles'!$O$2:$O$158,"",0,1)</f>
        <v>45307</v>
      </c>
      <c r="S88" s="1" t="str">
        <f>IF(_xlfn.XLOOKUP(A88,'Data Set 2 - Vehicles'!$A$2:$A$158,'Data Set 2 - Vehicles'!$E$2:$E$158,"Has No Vehicle",0,-1)=P88,"Has Only One Vehicle",_xlfn.XLOOKUP(A88,'Data Set 2 - Vehicles'!$A$2:$A$158,'Data Set 2 - Vehicles'!$E$2:$E$158,"Has No Vehcile",0,-1))</f>
        <v>Has Only One Vehicle</v>
      </c>
      <c r="T88" s="1" t="str">
        <f>_xlfn.LET(_xlpm.mfcname,_xlfn.XLOOKUP(A88,'Data Set 2 - Vehicles'!$A$2:$A$158,'Data Set 2 - Vehicles'!$D$2:$D$158,"NF",0,-1),_xlpm.mdlname,_xlfn.XLOOKUP(A88,'Data Set 2 - Vehicles'!$A$2:$A$158,'Data Set 2 - Vehicles'!$E$2:$E$158,"NF",0,-1),_xlpm.vehcilename,_xlfn.CONCAT(_xlpm.mfcname," ",_xlpm.mdlname),IF(S88="Has No Vehicle","Has No Vehicle",IF(S88="Has Only One Vehicle","Has Only One Vehicle",IF(_xlpm.vehcilename="NF NF","Not Found",_xlpm.vehcilename))))</f>
        <v>Has Only One Vehicle</v>
      </c>
      <c r="U88" s="24" t="str">
        <f>_xlfn.LET(_xlpm.vserdate,_xlfn.XLOOKUP(A88,'Data Set 2 - Vehicles'!$A$2:$A$158,'Data Set 2 - Vehicles'!$O$2:$O$158,"NF",0,-1), IF(OR('Data Set 1'!S88="Has No Vehicle",'Data Set 1'!S88="Has Only One Vehicle"),'Data Set 1'!S88,_xlpm.vserdate))</f>
        <v>Has Only One Vehicle</v>
      </c>
      <c r="V88" s="1">
        <f>SUMIF('Data Set 2 - Vehicles'!$A$2:$A$158,'Data Set 1'!A88,'Data Set 2 - Vehicles'!$Q$2:$Q$158)</f>
        <v>256263</v>
      </c>
      <c r="W88" s="5">
        <f>_xlfn.LET(_xlpm.maxdate,_xlfn.MAXIFS('Data Set 2 - Vehicles'!$O$2:$O$158,'Data Set 2 - Vehicles'!$A$2:$A$158,'Data Set 1'!A88),IF(_xlpm.maxdate=0,"",_xlpm.maxdate))</f>
        <v>45307</v>
      </c>
      <c r="X88" s="1" t="str">
        <f t="shared" ca="1" si="7"/>
        <v>Active</v>
      </c>
      <c r="Y8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89" spans="1:25" ht="12.75" x14ac:dyDescent="0.35">
      <c r="A89" s="15">
        <v>1249</v>
      </c>
      <c r="B89" s="1"/>
      <c r="C89" s="1"/>
      <c r="D89" s="7" t="s">
        <v>832</v>
      </c>
      <c r="E89" s="1" t="s">
        <v>833</v>
      </c>
      <c r="F89" s="1" t="s">
        <v>834</v>
      </c>
      <c r="G89" s="11" t="s">
        <v>419</v>
      </c>
      <c r="H89" s="11">
        <v>8401</v>
      </c>
      <c r="I89" s="1" t="str">
        <f t="shared" si="4"/>
        <v xml:space="preserve"> </v>
      </c>
      <c r="J89" s="1" t="str">
        <f t="shared" si="5"/>
        <v>Linguistic Systems Inc</v>
      </c>
      <c r="K89" s="1" t="str">
        <f t="shared" si="6"/>
        <v>506</v>
      </c>
      <c r="L89" s="1" t="str">
        <f>VLOOKUP(A89,'Data Set 3 - Contacts'!$A$2:$F$136,5,FALSE)</f>
        <v>6092285265</v>
      </c>
      <c r="M89" s="1" t="str">
        <f>VLOOKUP(A89,'Data Set 3 - Contacts'!$A$2:$F$136,6,FALSE)</f>
        <v>6098547156</v>
      </c>
      <c r="N89" s="1" t="str">
        <f>VLOOKUP(A89,'Data Set 3 - Contacts'!$A$2:$F$136,4,FALSE)</f>
        <v>an_fritz@hotmail.com</v>
      </c>
      <c r="O89" s="1">
        <f>_xlfn.XLOOKUP(A89,'Data Set 2 - Vehicles'!$A$2:$A$158,'Data Set 2 - Vehicles'!$B$2:$B$158,0,0,-1)</f>
        <v>1</v>
      </c>
      <c r="P89" s="1" t="str">
        <f>_xlfn.XLOOKUP(A89,'Data Set 2 - Vehicles'!$A$2:$A$158,'Data Set 2 - Vehicles'!$E$2:$E$158,"Not Found",0,1)</f>
        <v>Monte Carlo</v>
      </c>
      <c r="Q89" s="1" t="str">
        <f>IF(_xlfn.CONCAT(_xlfn.XLOOKUP(A89,'Data Set 2 - Vehicles'!$A$2:$A$158,'Data Set 2 - Vehicles'!$D$2:$D$158,"Not Found",0,1)," ",_xlfn.XLOOKUP(A89,'Data Set 2 - Vehicles'!$A$2:$A$158,'Data Set 2 - Vehicles'!$E$2:$E$158,"Not Found",0,1))="Not Found Not Found", "Not Found",_xlfn.CONCAT(_xlfn.XLOOKUP(A89,'Data Set 2 - Vehicles'!$A$2:$A$158,'Data Set 2 - Vehicles'!$D$2:$D$158,"Not Found",0,1)," ",_xlfn.XLOOKUP(A89,'Data Set 2 - Vehicles'!$A$2:$A$158,'Data Set 2 - Vehicles'!$E$2:$E$158,"Not Found",0,1)))</f>
        <v>Chevrolet Monte Carlo</v>
      </c>
      <c r="R89" s="5">
        <f>_xlfn.XLOOKUP(A89,'Data Set 2 - Vehicles'!$A$2:$A$158,'Data Set 2 - Vehicles'!$O$2:$O$158,"",0,1)</f>
        <v>45648</v>
      </c>
      <c r="S89" s="1" t="str">
        <f>IF(_xlfn.XLOOKUP(A89,'Data Set 2 - Vehicles'!$A$2:$A$158,'Data Set 2 - Vehicles'!$E$2:$E$158,"Has No Vehicle",0,-1)=P89,"Has Only One Vehicle",_xlfn.XLOOKUP(A89,'Data Set 2 - Vehicles'!$A$2:$A$158,'Data Set 2 - Vehicles'!$E$2:$E$158,"Has No Vehcile",0,-1))</f>
        <v>Has Only One Vehicle</v>
      </c>
      <c r="T89" s="1" t="str">
        <f>_xlfn.LET(_xlpm.mfcname,_xlfn.XLOOKUP(A89,'Data Set 2 - Vehicles'!$A$2:$A$158,'Data Set 2 - Vehicles'!$D$2:$D$158,"NF",0,-1),_xlpm.mdlname,_xlfn.XLOOKUP(A89,'Data Set 2 - Vehicles'!$A$2:$A$158,'Data Set 2 - Vehicles'!$E$2:$E$158,"NF",0,-1),_xlpm.vehcilename,_xlfn.CONCAT(_xlpm.mfcname," ",_xlpm.mdlname),IF(S89="Has No Vehicle","Has No Vehicle",IF(S89="Has Only One Vehicle","Has Only One Vehicle",IF(_xlpm.vehcilename="NF NF","Not Found",_xlpm.vehcilename))))</f>
        <v>Has Only One Vehicle</v>
      </c>
      <c r="U89" s="24" t="str">
        <f>_xlfn.LET(_xlpm.vserdate,_xlfn.XLOOKUP(A89,'Data Set 2 - Vehicles'!$A$2:$A$158,'Data Set 2 - Vehicles'!$O$2:$O$158,"NF",0,-1), IF(OR('Data Set 1'!S89="Has No Vehicle",'Data Set 1'!S89="Has Only One Vehicle"),'Data Set 1'!S89,_xlpm.vserdate))</f>
        <v>Has Only One Vehicle</v>
      </c>
      <c r="V89" s="1">
        <f>SUMIF('Data Set 2 - Vehicles'!$A$2:$A$158,'Data Set 1'!A89,'Data Set 2 - Vehicles'!$Q$2:$Q$158)</f>
        <v>53528</v>
      </c>
      <c r="W89" s="5">
        <f>_xlfn.LET(_xlpm.maxdate,_xlfn.MAXIFS('Data Set 2 - Vehicles'!$O$2:$O$158,'Data Set 2 - Vehicles'!$A$2:$A$158,'Data Set 1'!A89),IF(_xlpm.maxdate=0,"",_xlpm.maxdate))</f>
        <v>45648</v>
      </c>
      <c r="X89" s="1" t="str">
        <f t="shared" ca="1" si="7"/>
        <v>Active</v>
      </c>
      <c r="Y8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90" spans="1:25" ht="12.75" x14ac:dyDescent="0.35">
      <c r="A90" s="15">
        <v>1463</v>
      </c>
      <c r="B90" s="1" t="s">
        <v>836</v>
      </c>
      <c r="C90" s="1" t="s">
        <v>837</v>
      </c>
      <c r="D90" s="7"/>
      <c r="E90" s="1" t="s">
        <v>838</v>
      </c>
      <c r="F90" s="1" t="s">
        <v>707</v>
      </c>
      <c r="G90" s="11" t="s">
        <v>495</v>
      </c>
      <c r="H90" s="11">
        <v>21217</v>
      </c>
      <c r="I90" s="1" t="str">
        <f t="shared" si="4"/>
        <v>Izetta Dewar</v>
      </c>
      <c r="J90" s="1" t="str">
        <f t="shared" si="5"/>
        <v>Izetta Dewar</v>
      </c>
      <c r="K90" s="1" t="str">
        <f t="shared" si="6"/>
        <v>2</v>
      </c>
      <c r="L90" s="1" t="str">
        <f>VLOOKUP(A90,'Data Set 3 - Contacts'!$A$2:$F$136,5,FALSE)</f>
        <v>4104731708</v>
      </c>
      <c r="M90" s="1" t="str">
        <f>VLOOKUP(A90,'Data Set 3 - Contacts'!$A$2:$F$136,6,FALSE)</f>
        <v>4105227621</v>
      </c>
      <c r="N90" s="1" t="str">
        <f>VLOOKUP(A90,'Data Set 3 - Contacts'!$A$2:$F$136,4,FALSE)</f>
        <v>idewar@dewar.com</v>
      </c>
      <c r="O90" s="1">
        <f>_xlfn.XLOOKUP(A90,'Data Set 2 - Vehicles'!$A$2:$A$158,'Data Set 2 - Vehicles'!$B$2:$B$158,0,0,-1)</f>
        <v>1</v>
      </c>
      <c r="P90" s="1" t="str">
        <f>_xlfn.XLOOKUP(A90,'Data Set 2 - Vehicles'!$A$2:$A$158,'Data Set 2 - Vehicles'!$E$2:$E$158,"Not Found",0,1)</f>
        <v>Sebring Conv.</v>
      </c>
      <c r="Q90" s="1" t="str">
        <f>IF(_xlfn.CONCAT(_xlfn.XLOOKUP(A90,'Data Set 2 - Vehicles'!$A$2:$A$158,'Data Set 2 - Vehicles'!$D$2:$D$158,"Not Found",0,1)," ",_xlfn.XLOOKUP(A90,'Data Set 2 - Vehicles'!$A$2:$A$158,'Data Set 2 - Vehicles'!$E$2:$E$158,"Not Found",0,1))="Not Found Not Found", "Not Found",_xlfn.CONCAT(_xlfn.XLOOKUP(A90,'Data Set 2 - Vehicles'!$A$2:$A$158,'Data Set 2 - Vehicles'!$D$2:$D$158,"Not Found",0,1)," ",_xlfn.XLOOKUP(A90,'Data Set 2 - Vehicles'!$A$2:$A$158,'Data Set 2 - Vehicles'!$E$2:$E$158,"Not Found",0,1)))</f>
        <v>Chrysler Sebring Conv.</v>
      </c>
      <c r="R90" s="5">
        <f>_xlfn.XLOOKUP(A90,'Data Set 2 - Vehicles'!$A$2:$A$158,'Data Set 2 - Vehicles'!$O$2:$O$158,"",0,1)</f>
        <v>45247</v>
      </c>
      <c r="S90" s="1" t="str">
        <f>IF(_xlfn.XLOOKUP(A90,'Data Set 2 - Vehicles'!$A$2:$A$158,'Data Set 2 - Vehicles'!$E$2:$E$158,"Has No Vehicle",0,-1)=P90,"Has Only One Vehicle",_xlfn.XLOOKUP(A90,'Data Set 2 - Vehicles'!$A$2:$A$158,'Data Set 2 - Vehicles'!$E$2:$E$158,"Has No Vehcile",0,-1))</f>
        <v>Has Only One Vehicle</v>
      </c>
      <c r="T90" s="1" t="str">
        <f>_xlfn.LET(_xlpm.mfcname,_xlfn.XLOOKUP(A90,'Data Set 2 - Vehicles'!$A$2:$A$158,'Data Set 2 - Vehicles'!$D$2:$D$158,"NF",0,-1),_xlpm.mdlname,_xlfn.XLOOKUP(A90,'Data Set 2 - Vehicles'!$A$2:$A$158,'Data Set 2 - Vehicles'!$E$2:$E$158,"NF",0,-1),_xlpm.vehcilename,_xlfn.CONCAT(_xlpm.mfcname," ",_xlpm.mdlname),IF(S90="Has No Vehicle","Has No Vehicle",IF(S90="Has Only One Vehicle","Has Only One Vehicle",IF(_xlpm.vehcilename="NF NF","Not Found",_xlpm.vehcilename))))</f>
        <v>Has Only One Vehicle</v>
      </c>
      <c r="U90" s="24" t="str">
        <f>_xlfn.LET(_xlpm.vserdate,_xlfn.XLOOKUP(A90,'Data Set 2 - Vehicles'!$A$2:$A$158,'Data Set 2 - Vehicles'!$O$2:$O$158,"NF",0,-1), IF(OR('Data Set 1'!S90="Has No Vehicle",'Data Set 1'!S90="Has Only One Vehicle"),'Data Set 1'!S90,_xlpm.vserdate))</f>
        <v>Has Only One Vehicle</v>
      </c>
      <c r="V90" s="1">
        <f>SUMIF('Data Set 2 - Vehicles'!$A$2:$A$158,'Data Set 1'!A90,'Data Set 2 - Vehicles'!$Q$2:$Q$158)</f>
        <v>94663</v>
      </c>
      <c r="W90" s="5">
        <f>_xlfn.LET(_xlpm.maxdate,_xlfn.MAXIFS('Data Set 2 - Vehicles'!$O$2:$O$158,'Data Set 2 - Vehicles'!$A$2:$A$158,'Data Set 1'!A90),IF(_xlpm.maxdate=0,"",_xlpm.maxdate))</f>
        <v>45247</v>
      </c>
      <c r="X90" s="1" t="str">
        <f t="shared" ca="1" si="7"/>
        <v>Active</v>
      </c>
      <c r="Y9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91" spans="1:25" ht="12.4" customHeight="1" x14ac:dyDescent="0.35">
      <c r="A91" s="17">
        <v>1228</v>
      </c>
      <c r="B91" s="1"/>
      <c r="C91" s="1"/>
      <c r="D91" s="7" t="s">
        <v>839</v>
      </c>
      <c r="E91" s="1" t="s">
        <v>841</v>
      </c>
      <c r="F91" s="1" t="s">
        <v>784</v>
      </c>
      <c r="G91" s="11" t="s">
        <v>660</v>
      </c>
      <c r="H91" s="11">
        <v>75227</v>
      </c>
      <c r="I91" s="1" t="str">
        <f t="shared" si="4"/>
        <v xml:space="preserve"> </v>
      </c>
      <c r="J91" s="1" t="str">
        <f t="shared" si="5"/>
        <v>Little Sheet Metal Co</v>
      </c>
      <c r="K91" s="1" t="str">
        <f t="shared" si="6"/>
        <v>75684</v>
      </c>
      <c r="L91" s="1" t="str">
        <f>VLOOKUP(A91,'Data Set 3 - Contacts'!$A$2:$F$136,5,FALSE)</f>
        <v>2142891973</v>
      </c>
      <c r="M91" s="1" t="str">
        <f>VLOOKUP(A91,'Data Set 3 - Contacts'!$A$2:$F$136,6,FALSE)</f>
        <v>2147856750</v>
      </c>
      <c r="N91" s="1" t="str">
        <f>VLOOKUP(A91,'Data Set 3 - Contacts'!$A$2:$F$136,4,FALSE)</f>
        <v>earleen_mai@cox.net</v>
      </c>
      <c r="O91" s="1">
        <f>_xlfn.XLOOKUP(A91,'Data Set 2 - Vehicles'!$A$2:$A$158,'Data Set 2 - Vehicles'!$B$2:$B$158,0,0,-1)</f>
        <v>1</v>
      </c>
      <c r="P91" s="1" t="str">
        <f>_xlfn.XLOOKUP(A91,'Data Set 2 - Vehicles'!$A$2:$A$158,'Data Set 2 - Vehicles'!$E$2:$E$158,"Not Found",0,1)</f>
        <v>Maxima</v>
      </c>
      <c r="Q91" s="1" t="str">
        <f>IF(_xlfn.CONCAT(_xlfn.XLOOKUP(A91,'Data Set 2 - Vehicles'!$A$2:$A$158,'Data Set 2 - Vehicles'!$D$2:$D$158,"Not Found",0,1)," ",_xlfn.XLOOKUP(A91,'Data Set 2 - Vehicles'!$A$2:$A$158,'Data Set 2 - Vehicles'!$E$2:$E$158,"Not Found",0,1))="Not Found Not Found", "Not Found",_xlfn.CONCAT(_xlfn.XLOOKUP(A91,'Data Set 2 - Vehicles'!$A$2:$A$158,'Data Set 2 - Vehicles'!$D$2:$D$158,"Not Found",0,1)," ",_xlfn.XLOOKUP(A91,'Data Set 2 - Vehicles'!$A$2:$A$158,'Data Set 2 - Vehicles'!$E$2:$E$158,"Not Found",0,1)))</f>
        <v>Nissan Maxima</v>
      </c>
      <c r="R91" s="5">
        <f>_xlfn.XLOOKUP(A91,'Data Set 2 - Vehicles'!$A$2:$A$158,'Data Set 2 - Vehicles'!$O$2:$O$158,"",0,1)</f>
        <v>39939</v>
      </c>
      <c r="S91" s="1" t="str">
        <f>IF(_xlfn.XLOOKUP(A91,'Data Set 2 - Vehicles'!$A$2:$A$158,'Data Set 2 - Vehicles'!$E$2:$E$158,"Has No Vehicle",0,-1)=P91,"Has Only One Vehicle",_xlfn.XLOOKUP(A91,'Data Set 2 - Vehicles'!$A$2:$A$158,'Data Set 2 - Vehicles'!$E$2:$E$158,"Has No Vehcile",0,-1))</f>
        <v>Has Only One Vehicle</v>
      </c>
      <c r="T91" s="1" t="str">
        <f>_xlfn.LET(_xlpm.mfcname,_xlfn.XLOOKUP(A91,'Data Set 2 - Vehicles'!$A$2:$A$158,'Data Set 2 - Vehicles'!$D$2:$D$158,"NF",0,-1),_xlpm.mdlname,_xlfn.XLOOKUP(A91,'Data Set 2 - Vehicles'!$A$2:$A$158,'Data Set 2 - Vehicles'!$E$2:$E$158,"NF",0,-1),_xlpm.vehcilename,_xlfn.CONCAT(_xlpm.mfcname," ",_xlpm.mdlname),IF(S91="Has No Vehicle","Has No Vehicle",IF(S91="Has Only One Vehicle","Has Only One Vehicle",IF(_xlpm.vehcilename="NF NF","Not Found",_xlpm.vehcilename))))</f>
        <v>Has Only One Vehicle</v>
      </c>
      <c r="U91" s="24" t="str">
        <f>_xlfn.LET(_xlpm.vserdate,_xlfn.XLOOKUP(A91,'Data Set 2 - Vehicles'!$A$2:$A$158,'Data Set 2 - Vehicles'!$O$2:$O$158,"NF",0,-1), IF(OR('Data Set 1'!S91="Has No Vehicle",'Data Set 1'!S91="Has Only One Vehicle"),'Data Set 1'!S91,_xlpm.vserdate))</f>
        <v>Has Only One Vehicle</v>
      </c>
      <c r="V91" s="1">
        <f>SUMIF('Data Set 2 - Vehicles'!$A$2:$A$158,'Data Set 1'!A91,'Data Set 2 - Vehicles'!$Q$2:$Q$158)</f>
        <v>256016</v>
      </c>
      <c r="W91" s="5">
        <f>_xlfn.LET(_xlpm.maxdate,_xlfn.MAXIFS('Data Set 2 - Vehicles'!$O$2:$O$158,'Data Set 2 - Vehicles'!$A$2:$A$158,'Data Set 1'!A91),IF(_xlpm.maxdate=0,"",_xlpm.maxdate))</f>
        <v>39939</v>
      </c>
      <c r="X91" s="1" t="str">
        <f t="shared" ca="1" si="7"/>
        <v>InActive</v>
      </c>
      <c r="Y9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92" spans="1:25" ht="12.75" x14ac:dyDescent="0.35">
      <c r="A92" s="17">
        <v>1336</v>
      </c>
      <c r="B92" s="1"/>
      <c r="C92" s="1"/>
      <c r="D92" s="7" t="s">
        <v>842</v>
      </c>
      <c r="E92" s="1" t="s">
        <v>843</v>
      </c>
      <c r="F92" s="1" t="s">
        <v>844</v>
      </c>
      <c r="G92" s="11" t="s">
        <v>725</v>
      </c>
      <c r="H92" s="11">
        <v>2760</v>
      </c>
      <c r="I92" s="1" t="str">
        <f t="shared" si="4"/>
        <v xml:space="preserve"> </v>
      </c>
      <c r="J92" s="1" t="str">
        <f t="shared" si="5"/>
        <v>Local Office</v>
      </c>
      <c r="K92" s="1" t="str">
        <f t="shared" si="6"/>
        <v>4</v>
      </c>
      <c r="L92" s="1" t="str">
        <f>VLOOKUP(A92,'Data Set 3 - Contacts'!$A$2:$F$136,5,FALSE)</f>
        <v>5089424186</v>
      </c>
      <c r="M92" s="1" t="str">
        <f>VLOOKUP(A92,'Data Set 3 - Contacts'!$A$2:$F$136,6,FALSE)</f>
        <v/>
      </c>
      <c r="N92" s="1" t="str">
        <f>VLOOKUP(A92,'Data Set 3 - Contacts'!$A$2:$F$136,4,FALSE)</f>
        <v>corinne@loder.org</v>
      </c>
      <c r="O92" s="1">
        <f>_xlfn.XLOOKUP(A92,'Data Set 2 - Vehicles'!$A$2:$A$158,'Data Set 2 - Vehicles'!$B$2:$B$158,0,0,-1)</f>
        <v>0</v>
      </c>
      <c r="P92" s="1" t="str">
        <f>_xlfn.XLOOKUP(A92,'Data Set 2 - Vehicles'!$A$2:$A$158,'Data Set 2 - Vehicles'!$E$2:$E$158,"Not Found",0,1)</f>
        <v>Not Found</v>
      </c>
      <c r="Q92" s="1" t="str">
        <f>IF(_xlfn.CONCAT(_xlfn.XLOOKUP(A92,'Data Set 2 - Vehicles'!$A$2:$A$158,'Data Set 2 - Vehicles'!$D$2:$D$158,"Not Found",0,1)," ",_xlfn.XLOOKUP(A92,'Data Set 2 - Vehicles'!$A$2:$A$158,'Data Set 2 - Vehicles'!$E$2:$E$158,"Not Found",0,1))="Not Found Not Found", "Not Found",_xlfn.CONCAT(_xlfn.XLOOKUP(A92,'Data Set 2 - Vehicles'!$A$2:$A$158,'Data Set 2 - Vehicles'!$D$2:$D$158,"Not Found",0,1)," ",_xlfn.XLOOKUP(A92,'Data Set 2 - Vehicles'!$A$2:$A$158,'Data Set 2 - Vehicles'!$E$2:$E$158,"Not Found",0,1)))</f>
        <v>Not Found</v>
      </c>
      <c r="R92" s="5" t="str">
        <f>_xlfn.XLOOKUP(A92,'Data Set 2 - Vehicles'!$A$2:$A$158,'Data Set 2 - Vehicles'!$O$2:$O$158,"",0,1)</f>
        <v/>
      </c>
      <c r="S92" s="1" t="str">
        <f>IF(_xlfn.XLOOKUP(A92,'Data Set 2 - Vehicles'!$A$2:$A$158,'Data Set 2 - Vehicles'!$E$2:$E$158,"Has No Vehicle",0,-1)=P92,"Has Only One Vehicle",_xlfn.XLOOKUP(A92,'Data Set 2 - Vehicles'!$A$2:$A$158,'Data Set 2 - Vehicles'!$E$2:$E$158,"Has No Vehcile",0,-1))</f>
        <v>Has No Vehcile</v>
      </c>
      <c r="T92" s="1" t="str">
        <f>_xlfn.LET(_xlpm.mfcname,_xlfn.XLOOKUP(A92,'Data Set 2 - Vehicles'!$A$2:$A$158,'Data Set 2 - Vehicles'!$D$2:$D$158,"NF",0,-1),_xlpm.mdlname,_xlfn.XLOOKUP(A92,'Data Set 2 - Vehicles'!$A$2:$A$158,'Data Set 2 - Vehicles'!$E$2:$E$158,"NF",0,-1),_xlpm.vehcilename,_xlfn.CONCAT(_xlpm.mfcname," ",_xlpm.mdlname),IF(S92="Has No Vehicle","Has No Vehicle",IF(S92="Has Only One Vehicle","Has Only One Vehicle",IF(_xlpm.vehcilename="NF NF","Not Found",_xlpm.vehcilename))))</f>
        <v>Not Found</v>
      </c>
      <c r="U92" s="24" t="str">
        <f>_xlfn.LET(_xlpm.vserdate,_xlfn.XLOOKUP(A92,'Data Set 2 - Vehicles'!$A$2:$A$158,'Data Set 2 - Vehicles'!$O$2:$O$158,"NF",0,-1), IF(OR('Data Set 1'!S92="Has No Vehicle",'Data Set 1'!S92="Has Only One Vehicle"),'Data Set 1'!S92,_xlpm.vserdate))</f>
        <v>NF</v>
      </c>
      <c r="V92" s="1">
        <f>SUMIF('Data Set 2 - Vehicles'!$A$2:$A$158,'Data Set 1'!A92,'Data Set 2 - Vehicles'!$Q$2:$Q$158)</f>
        <v>0</v>
      </c>
      <c r="W92" s="5" t="str">
        <f>_xlfn.LET(_xlpm.maxdate,_xlfn.MAXIFS('Data Set 2 - Vehicles'!$O$2:$O$158,'Data Set 2 - Vehicles'!$A$2:$A$158,'Data Set 1'!A92),IF(_xlpm.maxdate=0,"",_xlpm.maxdate))</f>
        <v/>
      </c>
      <c r="X92" s="1" t="str">
        <f t="shared" ca="1" si="7"/>
        <v>No Service Record</v>
      </c>
      <c r="Y9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93" spans="1:25" ht="12.75" x14ac:dyDescent="0.35">
      <c r="A93" s="15">
        <v>1375</v>
      </c>
      <c r="B93" s="1" t="s">
        <v>846</v>
      </c>
      <c r="C93" s="1" t="s">
        <v>847</v>
      </c>
      <c r="D93" s="7" t="s">
        <v>848</v>
      </c>
      <c r="E93" s="1" t="s">
        <v>849</v>
      </c>
      <c r="F93" s="1" t="s">
        <v>850</v>
      </c>
      <c r="G93" s="11" t="s">
        <v>852</v>
      </c>
      <c r="H93" s="11">
        <v>46802</v>
      </c>
      <c r="I93" s="1" t="str">
        <f t="shared" si="4"/>
        <v>Serina Zagen</v>
      </c>
      <c r="J93" s="1" t="str">
        <f t="shared" si="5"/>
        <v>Serina Zagen</v>
      </c>
      <c r="K93" s="1" t="str">
        <f t="shared" si="6"/>
        <v>7</v>
      </c>
      <c r="L93" s="1" t="str">
        <f>VLOOKUP(A93,'Data Set 3 - Contacts'!$A$2:$F$136,5,FALSE)</f>
        <v>2602733725</v>
      </c>
      <c r="M93" s="1" t="str">
        <f>VLOOKUP(A93,'Data Set 3 - Contacts'!$A$2:$F$136,6,FALSE)</f>
        <v>2603824869</v>
      </c>
      <c r="N93" s="1" t="str">
        <f>VLOOKUP(A93,'Data Set 3 - Contacts'!$A$2:$F$136,4,FALSE)</f>
        <v>szagen@aol.com</v>
      </c>
      <c r="O93" s="1">
        <f>_xlfn.XLOOKUP(A93,'Data Set 2 - Vehicles'!$A$2:$A$158,'Data Set 2 - Vehicles'!$B$2:$B$158,0,0,-1)</f>
        <v>1</v>
      </c>
      <c r="P93" s="1" t="str">
        <f>_xlfn.XLOOKUP(A93,'Data Set 2 - Vehicles'!$A$2:$A$158,'Data Set 2 - Vehicles'!$E$2:$E$158,"Not Found",0,1)</f>
        <v>LeSabre</v>
      </c>
      <c r="Q93" s="1" t="str">
        <f>IF(_xlfn.CONCAT(_xlfn.XLOOKUP(A93,'Data Set 2 - Vehicles'!$A$2:$A$158,'Data Set 2 - Vehicles'!$D$2:$D$158,"Not Found",0,1)," ",_xlfn.XLOOKUP(A93,'Data Set 2 - Vehicles'!$A$2:$A$158,'Data Set 2 - Vehicles'!$E$2:$E$158,"Not Found",0,1))="Not Found Not Found", "Not Found",_xlfn.CONCAT(_xlfn.XLOOKUP(A93,'Data Set 2 - Vehicles'!$A$2:$A$158,'Data Set 2 - Vehicles'!$D$2:$D$158,"Not Found",0,1)," ",_xlfn.XLOOKUP(A93,'Data Set 2 - Vehicles'!$A$2:$A$158,'Data Set 2 - Vehicles'!$E$2:$E$158,"Not Found",0,1)))</f>
        <v>Buick LeSabre</v>
      </c>
      <c r="R93" s="5">
        <f>_xlfn.XLOOKUP(A93,'Data Set 2 - Vehicles'!$A$2:$A$158,'Data Set 2 - Vehicles'!$O$2:$O$158,"",0,1)</f>
        <v>40017</v>
      </c>
      <c r="S93" s="1" t="str">
        <f>IF(_xlfn.XLOOKUP(A93,'Data Set 2 - Vehicles'!$A$2:$A$158,'Data Set 2 - Vehicles'!$E$2:$E$158,"Has No Vehicle",0,-1)=P93,"Has Only One Vehicle",_xlfn.XLOOKUP(A93,'Data Set 2 - Vehicles'!$A$2:$A$158,'Data Set 2 - Vehicles'!$E$2:$E$158,"Has No Vehcile",0,-1))</f>
        <v>Has Only One Vehicle</v>
      </c>
      <c r="T93" s="1" t="str">
        <f>_xlfn.LET(_xlpm.mfcname,_xlfn.XLOOKUP(A93,'Data Set 2 - Vehicles'!$A$2:$A$158,'Data Set 2 - Vehicles'!$D$2:$D$158,"NF",0,-1),_xlpm.mdlname,_xlfn.XLOOKUP(A93,'Data Set 2 - Vehicles'!$A$2:$A$158,'Data Set 2 - Vehicles'!$E$2:$E$158,"NF",0,-1),_xlpm.vehcilename,_xlfn.CONCAT(_xlpm.mfcname," ",_xlpm.mdlname),IF(S93="Has No Vehicle","Has No Vehicle",IF(S93="Has Only One Vehicle","Has Only One Vehicle",IF(_xlpm.vehcilename="NF NF","Not Found",_xlpm.vehcilename))))</f>
        <v>Has Only One Vehicle</v>
      </c>
      <c r="U93" s="24" t="str">
        <f>_xlfn.LET(_xlpm.vserdate,_xlfn.XLOOKUP(A93,'Data Set 2 - Vehicles'!$A$2:$A$158,'Data Set 2 - Vehicles'!$O$2:$O$158,"NF",0,-1), IF(OR('Data Set 1'!S93="Has No Vehicle",'Data Set 1'!S93="Has Only One Vehicle"),'Data Set 1'!S93,_xlpm.vserdate))</f>
        <v>Has Only One Vehicle</v>
      </c>
      <c r="V93" s="1">
        <f>SUMIF('Data Set 2 - Vehicles'!$A$2:$A$158,'Data Set 1'!A93,'Data Set 2 - Vehicles'!$Q$2:$Q$158)</f>
        <v>90979</v>
      </c>
      <c r="W93" s="5">
        <f>_xlfn.LET(_xlpm.maxdate,_xlfn.MAXIFS('Data Set 2 - Vehicles'!$O$2:$O$158,'Data Set 2 - Vehicles'!$A$2:$A$158,'Data Set 1'!A93),IF(_xlpm.maxdate=0,"",_xlpm.maxdate))</f>
        <v>40017</v>
      </c>
      <c r="X93" s="1" t="str">
        <f t="shared" ca="1" si="7"/>
        <v>InActive</v>
      </c>
      <c r="Y9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94" spans="1:25" ht="12.75" x14ac:dyDescent="0.35">
      <c r="A94" s="15">
        <v>1079</v>
      </c>
      <c r="B94" s="1"/>
      <c r="C94" s="1"/>
      <c r="D94" s="7" t="s">
        <v>853</v>
      </c>
      <c r="E94" s="1" t="s">
        <v>854</v>
      </c>
      <c r="F94" s="1" t="s">
        <v>674</v>
      </c>
      <c r="G94" s="11" t="s">
        <v>392</v>
      </c>
      <c r="H94" s="11">
        <v>60647</v>
      </c>
      <c r="I94" s="1" t="str">
        <f t="shared" si="4"/>
        <v xml:space="preserve"> </v>
      </c>
      <c r="J94" s="1" t="str">
        <f t="shared" si="5"/>
        <v>Mark Iv Press Ltd</v>
      </c>
      <c r="K94" s="1" t="str">
        <f t="shared" si="6"/>
        <v>4284</v>
      </c>
      <c r="L94" s="1" t="str">
        <f>VLOOKUP(A94,'Data Set 3 - Contacts'!$A$2:$F$136,5,FALSE)</f>
        <v>7734465569</v>
      </c>
      <c r="M94" s="1" t="str">
        <f>VLOOKUP(A94,'Data Set 3 - Contacts'!$A$2:$F$136,6,FALSE)</f>
        <v>7733523437</v>
      </c>
      <c r="N94" s="1" t="str">
        <f>VLOOKUP(A94,'Data Set 3 - Contacts'!$A$2:$F$136,4,FALSE)</f>
        <v>viva.toelkes@gmail.com</v>
      </c>
      <c r="O94" s="1">
        <f>_xlfn.XLOOKUP(A94,'Data Set 2 - Vehicles'!$A$2:$A$158,'Data Set 2 - Vehicles'!$B$2:$B$158,0,0,-1)</f>
        <v>1</v>
      </c>
      <c r="P94" s="1" t="str">
        <f>_xlfn.XLOOKUP(A94,'Data Set 2 - Vehicles'!$A$2:$A$158,'Data Set 2 - Vehicles'!$E$2:$E$158,"Not Found",0,1)</f>
        <v>Grand Marquis</v>
      </c>
      <c r="Q94" s="1" t="str">
        <f>IF(_xlfn.CONCAT(_xlfn.XLOOKUP(A94,'Data Set 2 - Vehicles'!$A$2:$A$158,'Data Set 2 - Vehicles'!$D$2:$D$158,"Not Found",0,1)," ",_xlfn.XLOOKUP(A94,'Data Set 2 - Vehicles'!$A$2:$A$158,'Data Set 2 - Vehicles'!$E$2:$E$158,"Not Found",0,1))="Not Found Not Found", "Not Found",_xlfn.CONCAT(_xlfn.XLOOKUP(A94,'Data Set 2 - Vehicles'!$A$2:$A$158,'Data Set 2 - Vehicles'!$D$2:$D$158,"Not Found",0,1)," ",_xlfn.XLOOKUP(A94,'Data Set 2 - Vehicles'!$A$2:$A$158,'Data Set 2 - Vehicles'!$E$2:$E$158,"Not Found",0,1)))</f>
        <v>Mercury Grand Marquis</v>
      </c>
      <c r="R94" s="5">
        <f>_xlfn.XLOOKUP(A94,'Data Set 2 - Vehicles'!$A$2:$A$158,'Data Set 2 - Vehicles'!$O$2:$O$158,"",0,1)</f>
        <v>40748</v>
      </c>
      <c r="S94" s="1" t="str">
        <f>IF(_xlfn.XLOOKUP(A94,'Data Set 2 - Vehicles'!$A$2:$A$158,'Data Set 2 - Vehicles'!$E$2:$E$158,"Has No Vehicle",0,-1)=P94,"Has Only One Vehicle",_xlfn.XLOOKUP(A94,'Data Set 2 - Vehicles'!$A$2:$A$158,'Data Set 2 - Vehicles'!$E$2:$E$158,"Has No Vehcile",0,-1))</f>
        <v>Has Only One Vehicle</v>
      </c>
      <c r="T94" s="1" t="str">
        <f>_xlfn.LET(_xlpm.mfcname,_xlfn.XLOOKUP(A94,'Data Set 2 - Vehicles'!$A$2:$A$158,'Data Set 2 - Vehicles'!$D$2:$D$158,"NF",0,-1),_xlpm.mdlname,_xlfn.XLOOKUP(A94,'Data Set 2 - Vehicles'!$A$2:$A$158,'Data Set 2 - Vehicles'!$E$2:$E$158,"NF",0,-1),_xlpm.vehcilename,_xlfn.CONCAT(_xlpm.mfcname," ",_xlpm.mdlname),IF(S94="Has No Vehicle","Has No Vehicle",IF(S94="Has Only One Vehicle","Has Only One Vehicle",IF(_xlpm.vehcilename="NF NF","Not Found",_xlpm.vehcilename))))</f>
        <v>Has Only One Vehicle</v>
      </c>
      <c r="U94" s="24" t="str">
        <f>_xlfn.LET(_xlpm.vserdate,_xlfn.XLOOKUP(A94,'Data Set 2 - Vehicles'!$A$2:$A$158,'Data Set 2 - Vehicles'!$O$2:$O$158,"NF",0,-1), IF(OR('Data Set 1'!S94="Has No Vehicle",'Data Set 1'!S94="Has Only One Vehicle"),'Data Set 1'!S94,_xlpm.vserdate))</f>
        <v>Has Only One Vehicle</v>
      </c>
      <c r="V94" s="1">
        <f>SUMIF('Data Set 2 - Vehicles'!$A$2:$A$158,'Data Set 1'!A94,'Data Set 2 - Vehicles'!$Q$2:$Q$158)</f>
        <v>149967</v>
      </c>
      <c r="W94" s="5">
        <f>_xlfn.LET(_xlpm.maxdate,_xlfn.MAXIFS('Data Set 2 - Vehicles'!$O$2:$O$158,'Data Set 2 - Vehicles'!$A$2:$A$158,'Data Set 1'!A94),IF(_xlpm.maxdate=0,"",_xlpm.maxdate))</f>
        <v>40748</v>
      </c>
      <c r="X94" s="1" t="str">
        <f t="shared" ca="1" si="7"/>
        <v>InActive</v>
      </c>
      <c r="Y9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95" spans="1:25" ht="12.75" x14ac:dyDescent="0.35">
      <c r="A95" s="15">
        <v>1129</v>
      </c>
      <c r="B95" s="1" t="s">
        <v>857</v>
      </c>
      <c r="C95" s="1" t="s">
        <v>858</v>
      </c>
      <c r="D95" s="7"/>
      <c r="E95" s="1" t="s">
        <v>859</v>
      </c>
      <c r="F95" s="1" t="s">
        <v>860</v>
      </c>
      <c r="G95" s="11" t="s">
        <v>787</v>
      </c>
      <c r="H95" s="11">
        <v>32922</v>
      </c>
      <c r="I95" s="1" t="str">
        <f t="shared" si="4"/>
        <v>Lucina Lary</v>
      </c>
      <c r="J95" s="1" t="str">
        <f t="shared" si="5"/>
        <v>Lucina Lary</v>
      </c>
      <c r="K95" s="1" t="str">
        <f t="shared" si="6"/>
        <v>8597</v>
      </c>
      <c r="L95" s="1" t="str">
        <f>VLOOKUP(A95,'Data Set 3 - Contacts'!$A$2:$F$136,5,FALSE)</f>
        <v>3217494981</v>
      </c>
      <c r="M95" s="1" t="str">
        <f>VLOOKUP(A95,'Data Set 3 - Contacts'!$A$2:$F$136,6,FALSE)</f>
        <v/>
      </c>
      <c r="N95" s="1" t="str">
        <f>VLOOKUP(A95,'Data Set 3 - Contacts'!$A$2:$F$136,4,FALSE)</f>
        <v>lucina_lary@cox.net</v>
      </c>
      <c r="O95" s="1">
        <f>_xlfn.XLOOKUP(A95,'Data Set 2 - Vehicles'!$A$2:$A$158,'Data Set 2 - Vehicles'!$B$2:$B$158,0,0,-1)</f>
        <v>0</v>
      </c>
      <c r="P95" s="1" t="str">
        <f>_xlfn.XLOOKUP(A95,'Data Set 2 - Vehicles'!$A$2:$A$158,'Data Set 2 - Vehicles'!$E$2:$E$158,"Not Found",0,1)</f>
        <v>Not Found</v>
      </c>
      <c r="Q95" s="1" t="str">
        <f>IF(_xlfn.CONCAT(_xlfn.XLOOKUP(A95,'Data Set 2 - Vehicles'!$A$2:$A$158,'Data Set 2 - Vehicles'!$D$2:$D$158,"Not Found",0,1)," ",_xlfn.XLOOKUP(A95,'Data Set 2 - Vehicles'!$A$2:$A$158,'Data Set 2 - Vehicles'!$E$2:$E$158,"Not Found",0,1))="Not Found Not Found", "Not Found",_xlfn.CONCAT(_xlfn.XLOOKUP(A95,'Data Set 2 - Vehicles'!$A$2:$A$158,'Data Set 2 - Vehicles'!$D$2:$D$158,"Not Found",0,1)," ",_xlfn.XLOOKUP(A95,'Data Set 2 - Vehicles'!$A$2:$A$158,'Data Set 2 - Vehicles'!$E$2:$E$158,"Not Found",0,1)))</f>
        <v>Not Found</v>
      </c>
      <c r="R95" s="5" t="str">
        <f>_xlfn.XLOOKUP(A95,'Data Set 2 - Vehicles'!$A$2:$A$158,'Data Set 2 - Vehicles'!$O$2:$O$158,"",0,1)</f>
        <v/>
      </c>
      <c r="S95" s="1" t="str">
        <f>IF(_xlfn.XLOOKUP(A95,'Data Set 2 - Vehicles'!$A$2:$A$158,'Data Set 2 - Vehicles'!$E$2:$E$158,"Has No Vehicle",0,-1)=P95,"Has Only One Vehicle",_xlfn.XLOOKUP(A95,'Data Set 2 - Vehicles'!$A$2:$A$158,'Data Set 2 - Vehicles'!$E$2:$E$158,"Has No Vehcile",0,-1))</f>
        <v>Has No Vehcile</v>
      </c>
      <c r="T95" s="1" t="str">
        <f>_xlfn.LET(_xlpm.mfcname,_xlfn.XLOOKUP(A95,'Data Set 2 - Vehicles'!$A$2:$A$158,'Data Set 2 - Vehicles'!$D$2:$D$158,"NF",0,-1),_xlpm.mdlname,_xlfn.XLOOKUP(A95,'Data Set 2 - Vehicles'!$A$2:$A$158,'Data Set 2 - Vehicles'!$E$2:$E$158,"NF",0,-1),_xlpm.vehcilename,_xlfn.CONCAT(_xlpm.mfcname," ",_xlpm.mdlname),IF(S95="Has No Vehicle","Has No Vehicle",IF(S95="Has Only One Vehicle","Has Only One Vehicle",IF(_xlpm.vehcilename="NF NF","Not Found",_xlpm.vehcilename))))</f>
        <v>Not Found</v>
      </c>
      <c r="U95" s="24" t="str">
        <f>_xlfn.LET(_xlpm.vserdate,_xlfn.XLOOKUP(A95,'Data Set 2 - Vehicles'!$A$2:$A$158,'Data Set 2 - Vehicles'!$O$2:$O$158,"NF",0,-1), IF(OR('Data Set 1'!S95="Has No Vehicle",'Data Set 1'!S95="Has Only One Vehicle"),'Data Set 1'!S95,_xlpm.vserdate))</f>
        <v>NF</v>
      </c>
      <c r="V95" s="1">
        <f>SUMIF('Data Set 2 - Vehicles'!$A$2:$A$158,'Data Set 1'!A95,'Data Set 2 - Vehicles'!$Q$2:$Q$158)</f>
        <v>0</v>
      </c>
      <c r="W95" s="5" t="str">
        <f>_xlfn.LET(_xlpm.maxdate,_xlfn.MAXIFS('Data Set 2 - Vehicles'!$O$2:$O$158,'Data Set 2 - Vehicles'!$A$2:$A$158,'Data Set 1'!A95),IF(_xlpm.maxdate=0,"",_xlpm.maxdate))</f>
        <v/>
      </c>
      <c r="X95" s="1" t="str">
        <f t="shared" ca="1" si="7"/>
        <v>No Service Record</v>
      </c>
      <c r="Y9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96" spans="1:25" ht="12.75" x14ac:dyDescent="0.35">
      <c r="A96" s="15">
        <v>1329</v>
      </c>
      <c r="B96" s="1"/>
      <c r="C96" s="1"/>
      <c r="D96" s="7" t="s">
        <v>862</v>
      </c>
      <c r="E96" s="1" t="s">
        <v>863</v>
      </c>
      <c r="F96" s="1" t="s">
        <v>864</v>
      </c>
      <c r="G96" s="11" t="s">
        <v>461</v>
      </c>
      <c r="H96" s="11">
        <v>30753</v>
      </c>
      <c r="I96" s="1" t="str">
        <f t="shared" si="4"/>
        <v xml:space="preserve"> </v>
      </c>
      <c r="J96" s="1" t="str">
        <f t="shared" si="5"/>
        <v>Mayar Silk Inc</v>
      </c>
      <c r="K96" s="1" t="str">
        <f t="shared" si="6"/>
        <v>99</v>
      </c>
      <c r="L96" s="1" t="str">
        <f>VLOOKUP(A96,'Data Set 3 - Contacts'!$A$2:$F$136,5,FALSE)</f>
        <v>7062214243</v>
      </c>
      <c r="M96" s="1" t="str">
        <f>VLOOKUP(A96,'Data Set 3 - Contacts'!$A$2:$F$136,6,FALSE)</f>
        <v>7066165131</v>
      </c>
      <c r="N96" s="1" t="str">
        <f>VLOOKUP(A96,'Data Set 3 - Contacts'!$A$2:$F$136,4,FALSE)</f>
        <v>leota.ragel@gmail.com</v>
      </c>
      <c r="O96" s="1">
        <f>_xlfn.XLOOKUP(A96,'Data Set 2 - Vehicles'!$A$2:$A$158,'Data Set 2 - Vehicles'!$B$2:$B$158,0,0,-1)</f>
        <v>1</v>
      </c>
      <c r="P96" s="1" t="str">
        <f>_xlfn.XLOOKUP(A96,'Data Set 2 - Vehicles'!$A$2:$A$158,'Data Set 2 - Vehicles'!$E$2:$E$158,"Not Found",0,1)</f>
        <v>Wrangler</v>
      </c>
      <c r="Q96" s="1" t="str">
        <f>IF(_xlfn.CONCAT(_xlfn.XLOOKUP(A96,'Data Set 2 - Vehicles'!$A$2:$A$158,'Data Set 2 - Vehicles'!$D$2:$D$158,"Not Found",0,1)," ",_xlfn.XLOOKUP(A96,'Data Set 2 - Vehicles'!$A$2:$A$158,'Data Set 2 - Vehicles'!$E$2:$E$158,"Not Found",0,1))="Not Found Not Found", "Not Found",_xlfn.CONCAT(_xlfn.XLOOKUP(A96,'Data Set 2 - Vehicles'!$A$2:$A$158,'Data Set 2 - Vehicles'!$D$2:$D$158,"Not Found",0,1)," ",_xlfn.XLOOKUP(A96,'Data Set 2 - Vehicles'!$A$2:$A$158,'Data Set 2 - Vehicles'!$E$2:$E$158,"Not Found",0,1)))</f>
        <v>Jeep Wrangler</v>
      </c>
      <c r="R96" s="5">
        <f>_xlfn.XLOOKUP(A96,'Data Set 2 - Vehicles'!$A$2:$A$158,'Data Set 2 - Vehicles'!$O$2:$O$158,"",0,1)</f>
        <v>40241</v>
      </c>
      <c r="S96" s="1" t="str">
        <f>IF(_xlfn.XLOOKUP(A96,'Data Set 2 - Vehicles'!$A$2:$A$158,'Data Set 2 - Vehicles'!$E$2:$E$158,"Has No Vehicle",0,-1)=P96,"Has Only One Vehicle",_xlfn.XLOOKUP(A96,'Data Set 2 - Vehicles'!$A$2:$A$158,'Data Set 2 - Vehicles'!$E$2:$E$158,"Has No Vehcile",0,-1))</f>
        <v>Has Only One Vehicle</v>
      </c>
      <c r="T96" s="1" t="str">
        <f>_xlfn.LET(_xlpm.mfcname,_xlfn.XLOOKUP(A96,'Data Set 2 - Vehicles'!$A$2:$A$158,'Data Set 2 - Vehicles'!$D$2:$D$158,"NF",0,-1),_xlpm.mdlname,_xlfn.XLOOKUP(A96,'Data Set 2 - Vehicles'!$A$2:$A$158,'Data Set 2 - Vehicles'!$E$2:$E$158,"NF",0,-1),_xlpm.vehcilename,_xlfn.CONCAT(_xlpm.mfcname," ",_xlpm.mdlname),IF(S96="Has No Vehicle","Has No Vehicle",IF(S96="Has Only One Vehicle","Has Only One Vehicle",IF(_xlpm.vehcilename="NF NF","Not Found",_xlpm.vehcilename))))</f>
        <v>Has Only One Vehicle</v>
      </c>
      <c r="U96" s="24" t="str">
        <f>_xlfn.LET(_xlpm.vserdate,_xlfn.XLOOKUP(A96,'Data Set 2 - Vehicles'!$A$2:$A$158,'Data Set 2 - Vehicles'!$O$2:$O$158,"NF",0,-1), IF(OR('Data Set 1'!S96="Has No Vehicle",'Data Set 1'!S96="Has Only One Vehicle"),'Data Set 1'!S96,_xlpm.vserdate))</f>
        <v>Has Only One Vehicle</v>
      </c>
      <c r="V96" s="1">
        <f>SUMIF('Data Set 2 - Vehicles'!$A$2:$A$158,'Data Set 1'!A96,'Data Set 2 - Vehicles'!$Q$2:$Q$158)</f>
        <v>215110</v>
      </c>
      <c r="W96" s="5">
        <f>_xlfn.LET(_xlpm.maxdate,_xlfn.MAXIFS('Data Set 2 - Vehicles'!$O$2:$O$158,'Data Set 2 - Vehicles'!$A$2:$A$158,'Data Set 1'!A96),IF(_xlpm.maxdate=0,"",_xlpm.maxdate))</f>
        <v>40241</v>
      </c>
      <c r="X96" s="1" t="str">
        <f t="shared" ca="1" si="7"/>
        <v>InActive</v>
      </c>
      <c r="Y9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97" spans="1:25" ht="12.75" x14ac:dyDescent="0.35">
      <c r="A97" s="15">
        <v>1197</v>
      </c>
      <c r="B97" s="1" t="s">
        <v>866</v>
      </c>
      <c r="C97" s="1" t="s">
        <v>867</v>
      </c>
      <c r="D97" s="7"/>
      <c r="E97" s="1" t="s">
        <v>868</v>
      </c>
      <c r="F97" s="1" t="s">
        <v>869</v>
      </c>
      <c r="G97" s="11" t="s">
        <v>419</v>
      </c>
      <c r="H97" s="11">
        <v>8077</v>
      </c>
      <c r="I97" s="1" t="str">
        <f t="shared" si="4"/>
        <v>Felicidad Poullion</v>
      </c>
      <c r="J97" s="1" t="str">
        <f t="shared" si="5"/>
        <v>Felicidad Poullion</v>
      </c>
      <c r="K97" s="1" t="str">
        <f t="shared" si="6"/>
        <v>9939</v>
      </c>
      <c r="L97" s="1" t="str">
        <f>VLOOKUP(A97,'Data Set 3 - Contacts'!$A$2:$F$136,5,FALSE)</f>
        <v>8563059731</v>
      </c>
      <c r="M97" s="1" t="str">
        <f>VLOOKUP(A97,'Data Set 3 - Contacts'!$A$2:$F$136,6,FALSE)</f>
        <v>8568286021</v>
      </c>
      <c r="N97" s="1" t="str">
        <f>VLOOKUP(A97,'Data Set 3 - Contacts'!$A$2:$F$136,4,FALSE)</f>
        <v>fpoullion@poullion.com</v>
      </c>
      <c r="O97" s="1">
        <f>_xlfn.XLOOKUP(A97,'Data Set 2 - Vehicles'!$A$2:$A$158,'Data Set 2 - Vehicles'!$B$2:$B$158,0,0,-1)</f>
        <v>1</v>
      </c>
      <c r="P97" s="1" t="str">
        <f>_xlfn.XLOOKUP(A97,'Data Set 2 - Vehicles'!$A$2:$A$158,'Data Set 2 - Vehicles'!$E$2:$E$158,"Not Found",0,1)</f>
        <v>Accord</v>
      </c>
      <c r="Q97" s="1" t="str">
        <f>IF(_xlfn.CONCAT(_xlfn.XLOOKUP(A97,'Data Set 2 - Vehicles'!$A$2:$A$158,'Data Set 2 - Vehicles'!$D$2:$D$158,"Not Found",0,1)," ",_xlfn.XLOOKUP(A97,'Data Set 2 - Vehicles'!$A$2:$A$158,'Data Set 2 - Vehicles'!$E$2:$E$158,"Not Found",0,1))="Not Found Not Found", "Not Found",_xlfn.CONCAT(_xlfn.XLOOKUP(A97,'Data Set 2 - Vehicles'!$A$2:$A$158,'Data Set 2 - Vehicles'!$D$2:$D$158,"Not Found",0,1)," ",_xlfn.XLOOKUP(A97,'Data Set 2 - Vehicles'!$A$2:$A$158,'Data Set 2 - Vehicles'!$E$2:$E$158,"Not Found",0,1)))</f>
        <v>Honda Accord</v>
      </c>
      <c r="R97" s="5">
        <f>_xlfn.XLOOKUP(A97,'Data Set 2 - Vehicles'!$A$2:$A$158,'Data Set 2 - Vehicles'!$O$2:$O$158,"",0,1)</f>
        <v>39222</v>
      </c>
      <c r="S97" s="1" t="str">
        <f>IF(_xlfn.XLOOKUP(A97,'Data Set 2 - Vehicles'!$A$2:$A$158,'Data Set 2 - Vehicles'!$E$2:$E$158,"Has No Vehicle",0,-1)=P97,"Has Only One Vehicle",_xlfn.XLOOKUP(A97,'Data Set 2 - Vehicles'!$A$2:$A$158,'Data Set 2 - Vehicles'!$E$2:$E$158,"Has No Vehcile",0,-1))</f>
        <v>Has Only One Vehicle</v>
      </c>
      <c r="T97" s="1" t="str">
        <f>_xlfn.LET(_xlpm.mfcname,_xlfn.XLOOKUP(A97,'Data Set 2 - Vehicles'!$A$2:$A$158,'Data Set 2 - Vehicles'!$D$2:$D$158,"NF",0,-1),_xlpm.mdlname,_xlfn.XLOOKUP(A97,'Data Set 2 - Vehicles'!$A$2:$A$158,'Data Set 2 - Vehicles'!$E$2:$E$158,"NF",0,-1),_xlpm.vehcilename,_xlfn.CONCAT(_xlpm.mfcname," ",_xlpm.mdlname),IF(S97="Has No Vehicle","Has No Vehicle",IF(S97="Has Only One Vehicle","Has Only One Vehicle",IF(_xlpm.vehcilename="NF NF","Not Found",_xlpm.vehcilename))))</f>
        <v>Has Only One Vehicle</v>
      </c>
      <c r="U97" s="24" t="str">
        <f>_xlfn.LET(_xlpm.vserdate,_xlfn.XLOOKUP(A97,'Data Set 2 - Vehicles'!$A$2:$A$158,'Data Set 2 - Vehicles'!$O$2:$O$158,"NF",0,-1), IF(OR('Data Set 1'!S97="Has No Vehicle",'Data Set 1'!S97="Has Only One Vehicle"),'Data Set 1'!S97,_xlpm.vserdate))</f>
        <v>Has Only One Vehicle</v>
      </c>
      <c r="V97" s="1">
        <f>SUMIF('Data Set 2 - Vehicles'!$A$2:$A$158,'Data Set 1'!A97,'Data Set 2 - Vehicles'!$Q$2:$Q$158)</f>
        <v>237444</v>
      </c>
      <c r="W97" s="5">
        <f>_xlfn.LET(_xlpm.maxdate,_xlfn.MAXIFS('Data Set 2 - Vehicles'!$O$2:$O$158,'Data Set 2 - Vehicles'!$A$2:$A$158,'Data Set 1'!A97),IF(_xlpm.maxdate=0,"",_xlpm.maxdate))</f>
        <v>39222</v>
      </c>
      <c r="X97" s="1" t="str">
        <f t="shared" ca="1" si="7"/>
        <v>InActive</v>
      </c>
      <c r="Y9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98" spans="1:25" ht="12.75" x14ac:dyDescent="0.35">
      <c r="A98" s="15">
        <v>1357</v>
      </c>
      <c r="B98" s="1" t="s">
        <v>871</v>
      </c>
      <c r="C98" s="1" t="s">
        <v>873</v>
      </c>
      <c r="D98" s="7"/>
      <c r="E98" s="1" t="s">
        <v>874</v>
      </c>
      <c r="F98" s="1" t="s">
        <v>875</v>
      </c>
      <c r="G98" s="11" t="s">
        <v>660</v>
      </c>
      <c r="H98" s="11">
        <v>79925</v>
      </c>
      <c r="I98" s="1" t="str">
        <f t="shared" si="4"/>
        <v>Kristel Ehmann</v>
      </c>
      <c r="J98" s="1" t="str">
        <f t="shared" si="5"/>
        <v>Kristel Ehmann</v>
      </c>
      <c r="K98" s="1" t="str">
        <f t="shared" si="6"/>
        <v>92899</v>
      </c>
      <c r="L98" s="1" t="str">
        <f>VLOOKUP(A98,'Data Set 3 - Contacts'!$A$2:$F$136,5,FALSE)</f>
        <v>9154521290</v>
      </c>
      <c r="M98" s="1" t="str">
        <f>VLOOKUP(A98,'Data Set 3 - Contacts'!$A$2:$F$136,6,FALSE)</f>
        <v/>
      </c>
      <c r="N98" s="1" t="str">
        <f>VLOOKUP(A98,'Data Set 3 - Contacts'!$A$2:$F$136,4,FALSE)</f>
        <v>kristel.ehmann@aol.com</v>
      </c>
      <c r="O98" s="1">
        <f>_xlfn.XLOOKUP(A98,'Data Set 2 - Vehicles'!$A$2:$A$158,'Data Set 2 - Vehicles'!$B$2:$B$158,0,0,-1)</f>
        <v>1</v>
      </c>
      <c r="P98" s="1" t="str">
        <f>_xlfn.XLOOKUP(A98,'Data Set 2 - Vehicles'!$A$2:$A$158,'Data Set 2 - Vehicles'!$E$2:$E$158,"Not Found",0,1)</f>
        <v>LS</v>
      </c>
      <c r="Q98" s="1" t="str">
        <f>IF(_xlfn.CONCAT(_xlfn.XLOOKUP(A98,'Data Set 2 - Vehicles'!$A$2:$A$158,'Data Set 2 - Vehicles'!$D$2:$D$158,"Not Found",0,1)," ",_xlfn.XLOOKUP(A98,'Data Set 2 - Vehicles'!$A$2:$A$158,'Data Set 2 - Vehicles'!$E$2:$E$158,"Not Found",0,1))="Not Found Not Found", "Not Found",_xlfn.CONCAT(_xlfn.XLOOKUP(A98,'Data Set 2 - Vehicles'!$A$2:$A$158,'Data Set 2 - Vehicles'!$D$2:$D$158,"Not Found",0,1)," ",_xlfn.XLOOKUP(A98,'Data Set 2 - Vehicles'!$A$2:$A$158,'Data Set 2 - Vehicles'!$E$2:$E$158,"Not Found",0,1)))</f>
        <v>Saturn LS</v>
      </c>
      <c r="R98" s="5">
        <f>_xlfn.XLOOKUP(A98,'Data Set 2 - Vehicles'!$A$2:$A$158,'Data Set 2 - Vehicles'!$O$2:$O$158,"",0,1)</f>
        <v>39420</v>
      </c>
      <c r="S98" s="1" t="str">
        <f>IF(_xlfn.XLOOKUP(A98,'Data Set 2 - Vehicles'!$A$2:$A$158,'Data Set 2 - Vehicles'!$E$2:$E$158,"Has No Vehicle",0,-1)=P98,"Has Only One Vehicle",_xlfn.XLOOKUP(A98,'Data Set 2 - Vehicles'!$A$2:$A$158,'Data Set 2 - Vehicles'!$E$2:$E$158,"Has No Vehcile",0,-1))</f>
        <v>Has Only One Vehicle</v>
      </c>
      <c r="T98" s="1" t="str">
        <f>_xlfn.LET(_xlpm.mfcname,_xlfn.XLOOKUP(A98,'Data Set 2 - Vehicles'!$A$2:$A$158,'Data Set 2 - Vehicles'!$D$2:$D$158,"NF",0,-1),_xlpm.mdlname,_xlfn.XLOOKUP(A98,'Data Set 2 - Vehicles'!$A$2:$A$158,'Data Set 2 - Vehicles'!$E$2:$E$158,"NF",0,-1),_xlpm.vehcilename,_xlfn.CONCAT(_xlpm.mfcname," ",_xlpm.mdlname),IF(S98="Has No Vehicle","Has No Vehicle",IF(S98="Has Only One Vehicle","Has Only One Vehicle",IF(_xlpm.vehcilename="NF NF","Not Found",_xlpm.vehcilename))))</f>
        <v>Has Only One Vehicle</v>
      </c>
      <c r="U98" s="24" t="str">
        <f>_xlfn.LET(_xlpm.vserdate,_xlfn.XLOOKUP(A98,'Data Set 2 - Vehicles'!$A$2:$A$158,'Data Set 2 - Vehicles'!$O$2:$O$158,"NF",0,-1), IF(OR('Data Set 1'!S98="Has No Vehicle",'Data Set 1'!S98="Has Only One Vehicle"),'Data Set 1'!S98,_xlpm.vserdate))</f>
        <v>Has Only One Vehicle</v>
      </c>
      <c r="V98" s="1">
        <f>SUMIF('Data Set 2 - Vehicles'!$A$2:$A$158,'Data Set 1'!A98,'Data Set 2 - Vehicles'!$Q$2:$Q$158)</f>
        <v>189028</v>
      </c>
      <c r="W98" s="5">
        <f>_xlfn.LET(_xlpm.maxdate,_xlfn.MAXIFS('Data Set 2 - Vehicles'!$O$2:$O$158,'Data Set 2 - Vehicles'!$A$2:$A$158,'Data Set 1'!A98),IF(_xlpm.maxdate=0,"",_xlpm.maxdate))</f>
        <v>39420</v>
      </c>
      <c r="X98" s="1" t="str">
        <f t="shared" ca="1" si="7"/>
        <v>InActive</v>
      </c>
      <c r="Y9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99" spans="1:25" ht="12.75" x14ac:dyDescent="0.35">
      <c r="A99" s="17">
        <v>1348</v>
      </c>
      <c r="B99" s="1"/>
      <c r="C99" s="1"/>
      <c r="D99" s="7" t="s">
        <v>877</v>
      </c>
      <c r="E99" s="1" t="s">
        <v>878</v>
      </c>
      <c r="F99" s="1" t="s">
        <v>879</v>
      </c>
      <c r="G99" s="11" t="s">
        <v>582</v>
      </c>
      <c r="H99" s="11">
        <v>44820</v>
      </c>
      <c r="I99" s="1" t="str">
        <f t="shared" si="4"/>
        <v xml:space="preserve"> </v>
      </c>
      <c r="J99" s="1" t="str">
        <f t="shared" si="5"/>
        <v>Mcglynn Bliss Pc</v>
      </c>
      <c r="K99" s="1" t="str">
        <f t="shared" si="6"/>
        <v>8116</v>
      </c>
      <c r="L99" s="1" t="str">
        <f>VLOOKUP(A99,'Data Set 3 - Contacts'!$A$2:$F$136,5,FALSE)</f>
        <v>4195715920</v>
      </c>
      <c r="M99" s="1" t="str">
        <f>VLOOKUP(A99,'Data Set 3 - Contacts'!$A$2:$F$136,6,FALSE)</f>
        <v>4194886648</v>
      </c>
      <c r="N99" s="1" t="str">
        <f>VLOOKUP(A99,'Data Set 3 - Contacts'!$A$2:$F$136,4,FALSE)</f>
        <v>roselle.estell@hotmail.com</v>
      </c>
      <c r="O99" s="1">
        <f>_xlfn.XLOOKUP(A99,'Data Set 2 - Vehicles'!$A$2:$A$158,'Data Set 2 - Vehicles'!$B$2:$B$158,0,0,-1)</f>
        <v>1</v>
      </c>
      <c r="P99" s="1" t="str">
        <f>_xlfn.XLOOKUP(A99,'Data Set 2 - Vehicles'!$A$2:$A$158,'Data Set 2 - Vehicles'!$E$2:$E$158,"Not Found",0,1)</f>
        <v>Villager</v>
      </c>
      <c r="Q99" s="1" t="str">
        <f>IF(_xlfn.CONCAT(_xlfn.XLOOKUP(A99,'Data Set 2 - Vehicles'!$A$2:$A$158,'Data Set 2 - Vehicles'!$D$2:$D$158,"Not Found",0,1)," ",_xlfn.XLOOKUP(A99,'Data Set 2 - Vehicles'!$A$2:$A$158,'Data Set 2 - Vehicles'!$E$2:$E$158,"Not Found",0,1))="Not Found Not Found", "Not Found",_xlfn.CONCAT(_xlfn.XLOOKUP(A99,'Data Set 2 - Vehicles'!$A$2:$A$158,'Data Set 2 - Vehicles'!$D$2:$D$158,"Not Found",0,1)," ",_xlfn.XLOOKUP(A99,'Data Set 2 - Vehicles'!$A$2:$A$158,'Data Set 2 - Vehicles'!$E$2:$E$158,"Not Found",0,1)))</f>
        <v>Mercury Villager</v>
      </c>
      <c r="R99" s="5">
        <f>_xlfn.XLOOKUP(A99,'Data Set 2 - Vehicles'!$A$2:$A$158,'Data Set 2 - Vehicles'!$O$2:$O$158,"",0,1)</f>
        <v>38645</v>
      </c>
      <c r="S99" s="1" t="str">
        <f>IF(_xlfn.XLOOKUP(A99,'Data Set 2 - Vehicles'!$A$2:$A$158,'Data Set 2 - Vehicles'!$E$2:$E$158,"Has No Vehicle",0,-1)=P99,"Has Only One Vehicle",_xlfn.XLOOKUP(A99,'Data Set 2 - Vehicles'!$A$2:$A$158,'Data Set 2 - Vehicles'!$E$2:$E$158,"Has No Vehcile",0,-1))</f>
        <v>Has Only One Vehicle</v>
      </c>
      <c r="T99" s="1" t="str">
        <f>_xlfn.LET(_xlpm.mfcname,_xlfn.XLOOKUP(A99,'Data Set 2 - Vehicles'!$A$2:$A$158,'Data Set 2 - Vehicles'!$D$2:$D$158,"NF",0,-1),_xlpm.mdlname,_xlfn.XLOOKUP(A99,'Data Set 2 - Vehicles'!$A$2:$A$158,'Data Set 2 - Vehicles'!$E$2:$E$158,"NF",0,-1),_xlpm.vehcilename,_xlfn.CONCAT(_xlpm.mfcname," ",_xlpm.mdlname),IF(S99="Has No Vehicle","Has No Vehicle",IF(S99="Has Only One Vehicle","Has Only One Vehicle",IF(_xlpm.vehcilename="NF NF","Not Found",_xlpm.vehcilename))))</f>
        <v>Has Only One Vehicle</v>
      </c>
      <c r="U99" s="24" t="str">
        <f>_xlfn.LET(_xlpm.vserdate,_xlfn.XLOOKUP(A99,'Data Set 2 - Vehicles'!$A$2:$A$158,'Data Set 2 - Vehicles'!$O$2:$O$158,"NF",0,-1), IF(OR('Data Set 1'!S99="Has No Vehicle",'Data Set 1'!S99="Has Only One Vehicle"),'Data Set 1'!S99,_xlpm.vserdate))</f>
        <v>Has Only One Vehicle</v>
      </c>
      <c r="V99" s="1">
        <f>SUMIF('Data Set 2 - Vehicles'!$A$2:$A$158,'Data Set 1'!A99,'Data Set 2 - Vehicles'!$Q$2:$Q$158)</f>
        <v>225117</v>
      </c>
      <c r="W99" s="5">
        <f>_xlfn.LET(_xlpm.maxdate,_xlfn.MAXIFS('Data Set 2 - Vehicles'!$O$2:$O$158,'Data Set 2 - Vehicles'!$A$2:$A$158,'Data Set 1'!A99),IF(_xlpm.maxdate=0,"",_xlpm.maxdate))</f>
        <v>38645</v>
      </c>
      <c r="X99" s="1" t="str">
        <f t="shared" ca="1" si="7"/>
        <v>InActive</v>
      </c>
      <c r="Y9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00" spans="1:25" ht="12.75" x14ac:dyDescent="0.35">
      <c r="A100" s="17">
        <v>1094</v>
      </c>
      <c r="B100" s="1" t="s">
        <v>881</v>
      </c>
      <c r="C100" s="1" t="s">
        <v>882</v>
      </c>
      <c r="D100" s="7"/>
      <c r="E100" s="1" t="s">
        <v>883</v>
      </c>
      <c r="F100" s="1" t="s">
        <v>683</v>
      </c>
      <c r="G100" s="11" t="s">
        <v>684</v>
      </c>
      <c r="H100" s="11">
        <v>99501</v>
      </c>
      <c r="I100" s="1" t="str">
        <f t="shared" si="4"/>
        <v>Wilda Giguere</v>
      </c>
      <c r="J100" s="1" t="str">
        <f t="shared" si="5"/>
        <v>Wilda Giguere</v>
      </c>
      <c r="K100" s="1" t="str">
        <f t="shared" si="6"/>
        <v>1747</v>
      </c>
      <c r="L100" s="1" t="str">
        <f>VLOOKUP(A100,'Data Set 3 - Contacts'!$A$2:$F$136,5,FALSE)</f>
        <v>9078705536</v>
      </c>
      <c r="M100" s="1" t="str">
        <f>VLOOKUP(A100,'Data Set 3 - Contacts'!$A$2:$F$136,6,FALSE)</f>
        <v>9079149482</v>
      </c>
      <c r="N100" s="1" t="str">
        <f>VLOOKUP(A100,'Data Set 3 - Contacts'!$A$2:$F$136,4,FALSE)</f>
        <v>wilda@cox.net</v>
      </c>
      <c r="O100" s="1">
        <f>_xlfn.XLOOKUP(A100,'Data Set 2 - Vehicles'!$A$2:$A$158,'Data Set 2 - Vehicles'!$B$2:$B$158,0,0,-1)</f>
        <v>1</v>
      </c>
      <c r="P100" s="1" t="str">
        <f>_xlfn.XLOOKUP(A100,'Data Set 2 - Vehicles'!$A$2:$A$158,'Data Set 2 - Vehicles'!$E$2:$E$158,"Not Found",0,1)</f>
        <v>Catera</v>
      </c>
      <c r="Q100" s="1" t="str">
        <f>IF(_xlfn.CONCAT(_xlfn.XLOOKUP(A100,'Data Set 2 - Vehicles'!$A$2:$A$158,'Data Set 2 - Vehicles'!$D$2:$D$158,"Not Found",0,1)," ",_xlfn.XLOOKUP(A100,'Data Set 2 - Vehicles'!$A$2:$A$158,'Data Set 2 - Vehicles'!$E$2:$E$158,"Not Found",0,1))="Not Found Not Found", "Not Found",_xlfn.CONCAT(_xlfn.XLOOKUP(A100,'Data Set 2 - Vehicles'!$A$2:$A$158,'Data Set 2 - Vehicles'!$D$2:$D$158,"Not Found",0,1)," ",_xlfn.XLOOKUP(A100,'Data Set 2 - Vehicles'!$A$2:$A$158,'Data Set 2 - Vehicles'!$E$2:$E$158,"Not Found",0,1)))</f>
        <v>Cadillac Catera</v>
      </c>
      <c r="R100" s="5">
        <f>_xlfn.XLOOKUP(A100,'Data Set 2 - Vehicles'!$A$2:$A$158,'Data Set 2 - Vehicles'!$O$2:$O$158,"",0,1)</f>
        <v>39353</v>
      </c>
      <c r="S100" s="1" t="str">
        <f>IF(_xlfn.XLOOKUP(A100,'Data Set 2 - Vehicles'!$A$2:$A$158,'Data Set 2 - Vehicles'!$E$2:$E$158,"Has No Vehicle",0,-1)=P100,"Has Only One Vehicle",_xlfn.XLOOKUP(A100,'Data Set 2 - Vehicles'!$A$2:$A$158,'Data Set 2 - Vehicles'!$E$2:$E$158,"Has No Vehcile",0,-1))</f>
        <v>Has Only One Vehicle</v>
      </c>
      <c r="T100" s="1" t="str">
        <f>_xlfn.LET(_xlpm.mfcname,_xlfn.XLOOKUP(A100,'Data Set 2 - Vehicles'!$A$2:$A$158,'Data Set 2 - Vehicles'!$D$2:$D$158,"NF",0,-1),_xlpm.mdlname,_xlfn.XLOOKUP(A100,'Data Set 2 - Vehicles'!$A$2:$A$158,'Data Set 2 - Vehicles'!$E$2:$E$158,"NF",0,-1),_xlpm.vehcilename,_xlfn.CONCAT(_xlpm.mfcname," ",_xlpm.mdlname),IF(S100="Has No Vehicle","Has No Vehicle",IF(S100="Has Only One Vehicle","Has Only One Vehicle",IF(_xlpm.vehcilename="NF NF","Not Found",_xlpm.vehcilename))))</f>
        <v>Has Only One Vehicle</v>
      </c>
      <c r="U100" s="24" t="str">
        <f>_xlfn.LET(_xlpm.vserdate,_xlfn.XLOOKUP(A100,'Data Set 2 - Vehicles'!$A$2:$A$158,'Data Set 2 - Vehicles'!$O$2:$O$158,"NF",0,-1), IF(OR('Data Set 1'!S100="Has No Vehicle",'Data Set 1'!S100="Has Only One Vehicle"),'Data Set 1'!S100,_xlpm.vserdate))</f>
        <v>Has Only One Vehicle</v>
      </c>
      <c r="V100" s="1">
        <f>SUMIF('Data Set 2 - Vehicles'!$A$2:$A$158,'Data Set 1'!A100,'Data Set 2 - Vehicles'!$Q$2:$Q$158)</f>
        <v>177127</v>
      </c>
      <c r="W100" s="5">
        <f>_xlfn.LET(_xlpm.maxdate,_xlfn.MAXIFS('Data Set 2 - Vehicles'!$O$2:$O$158,'Data Set 2 - Vehicles'!$A$2:$A$158,'Data Set 1'!A100),IF(_xlpm.maxdate=0,"",_xlpm.maxdate))</f>
        <v>39353</v>
      </c>
      <c r="X100" s="1" t="str">
        <f t="shared" ca="1" si="7"/>
        <v>InActive</v>
      </c>
      <c r="Y10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01" spans="1:25" ht="12.75" x14ac:dyDescent="0.35">
      <c r="A101" s="15">
        <v>1147</v>
      </c>
      <c r="B101" s="1"/>
      <c r="C101" s="1"/>
      <c r="D101" s="7" t="s">
        <v>885</v>
      </c>
      <c r="E101" s="1" t="s">
        <v>886</v>
      </c>
      <c r="F101" s="1" t="s">
        <v>764</v>
      </c>
      <c r="G101" s="11" t="s">
        <v>660</v>
      </c>
      <c r="H101" s="11">
        <v>75061</v>
      </c>
      <c r="I101" s="1" t="str">
        <f t="shared" si="4"/>
        <v xml:space="preserve"> </v>
      </c>
      <c r="J101" s="1" t="str">
        <f t="shared" si="5"/>
        <v>Megibow &amp; Edwards</v>
      </c>
      <c r="K101" s="1" t="str">
        <f t="shared" si="6"/>
        <v>4</v>
      </c>
      <c r="L101" s="1" t="str">
        <f>VLOOKUP(A101,'Data Set 3 - Contacts'!$A$2:$F$136,5,FALSE)</f>
        <v>9729346914</v>
      </c>
      <c r="M101" s="1" t="str">
        <f>VLOOKUP(A101,'Data Set 3 - Contacts'!$A$2:$F$136,6,FALSE)</f>
        <v/>
      </c>
      <c r="N101" s="1" t="str">
        <f>VLOOKUP(A101,'Data Set 3 - Contacts'!$A$2:$F$136,4,FALSE)</f>
        <v>gearldine_gellinger@gellinger.com</v>
      </c>
      <c r="O101" s="1">
        <f>_xlfn.XLOOKUP(A101,'Data Set 2 - Vehicles'!$A$2:$A$158,'Data Set 2 - Vehicles'!$B$2:$B$158,0,0,-1)</f>
        <v>1</v>
      </c>
      <c r="P101" s="1" t="str">
        <f>_xlfn.XLOOKUP(A101,'Data Set 2 - Vehicles'!$A$2:$A$158,'Data Set 2 - Vehicles'!$E$2:$E$158,"Not Found",0,1)</f>
        <v>Pathfinder</v>
      </c>
      <c r="Q101" s="1" t="str">
        <f>IF(_xlfn.CONCAT(_xlfn.XLOOKUP(A101,'Data Set 2 - Vehicles'!$A$2:$A$158,'Data Set 2 - Vehicles'!$D$2:$D$158,"Not Found",0,1)," ",_xlfn.XLOOKUP(A101,'Data Set 2 - Vehicles'!$A$2:$A$158,'Data Set 2 - Vehicles'!$E$2:$E$158,"Not Found",0,1))="Not Found Not Found", "Not Found",_xlfn.CONCAT(_xlfn.XLOOKUP(A101,'Data Set 2 - Vehicles'!$A$2:$A$158,'Data Set 2 - Vehicles'!$D$2:$D$158,"Not Found",0,1)," ",_xlfn.XLOOKUP(A101,'Data Set 2 - Vehicles'!$A$2:$A$158,'Data Set 2 - Vehicles'!$E$2:$E$158,"Not Found",0,1)))</f>
        <v>Nissan Pathfinder</v>
      </c>
      <c r="R101" s="5">
        <f>_xlfn.XLOOKUP(A101,'Data Set 2 - Vehicles'!$A$2:$A$158,'Data Set 2 - Vehicles'!$O$2:$O$158,"",0,1)</f>
        <v>42638</v>
      </c>
      <c r="S101" s="1" t="str">
        <f>IF(_xlfn.XLOOKUP(A101,'Data Set 2 - Vehicles'!$A$2:$A$158,'Data Set 2 - Vehicles'!$E$2:$E$158,"Has No Vehicle",0,-1)=P101,"Has Only One Vehicle",_xlfn.XLOOKUP(A101,'Data Set 2 - Vehicles'!$A$2:$A$158,'Data Set 2 - Vehicles'!$E$2:$E$158,"Has No Vehcile",0,-1))</f>
        <v>Has Only One Vehicle</v>
      </c>
      <c r="T101" s="1" t="str">
        <f>_xlfn.LET(_xlpm.mfcname,_xlfn.XLOOKUP(A101,'Data Set 2 - Vehicles'!$A$2:$A$158,'Data Set 2 - Vehicles'!$D$2:$D$158,"NF",0,-1),_xlpm.mdlname,_xlfn.XLOOKUP(A101,'Data Set 2 - Vehicles'!$A$2:$A$158,'Data Set 2 - Vehicles'!$E$2:$E$158,"NF",0,-1),_xlpm.vehcilename,_xlfn.CONCAT(_xlpm.mfcname," ",_xlpm.mdlname),IF(S101="Has No Vehicle","Has No Vehicle",IF(S101="Has Only One Vehicle","Has Only One Vehicle",IF(_xlpm.vehcilename="NF NF","Not Found",_xlpm.vehcilename))))</f>
        <v>Has Only One Vehicle</v>
      </c>
      <c r="U101" s="24" t="str">
        <f>_xlfn.LET(_xlpm.vserdate,_xlfn.XLOOKUP(A101,'Data Set 2 - Vehicles'!$A$2:$A$158,'Data Set 2 - Vehicles'!$O$2:$O$158,"NF",0,-1), IF(OR('Data Set 1'!S101="Has No Vehicle",'Data Set 1'!S101="Has Only One Vehicle"),'Data Set 1'!S101,_xlpm.vserdate))</f>
        <v>Has Only One Vehicle</v>
      </c>
      <c r="V101" s="1">
        <f>SUMIF('Data Set 2 - Vehicles'!$A$2:$A$158,'Data Set 1'!A101,'Data Set 2 - Vehicles'!$Q$2:$Q$158)</f>
        <v>93050</v>
      </c>
      <c r="W101" s="5">
        <f>_xlfn.LET(_xlpm.maxdate,_xlfn.MAXIFS('Data Set 2 - Vehicles'!$O$2:$O$158,'Data Set 2 - Vehicles'!$A$2:$A$158,'Data Set 1'!A101),IF(_xlpm.maxdate=0,"",_xlpm.maxdate))</f>
        <v>42638</v>
      </c>
      <c r="X101" s="1" t="str">
        <f t="shared" ca="1" si="7"/>
        <v>InActive</v>
      </c>
      <c r="Y10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102" spans="1:25" ht="12.75" x14ac:dyDescent="0.35">
      <c r="A102" s="15">
        <v>1007</v>
      </c>
      <c r="B102" s="1"/>
      <c r="C102" s="1"/>
      <c r="D102" s="7" t="s">
        <v>889</v>
      </c>
      <c r="E102" s="1" t="s">
        <v>890</v>
      </c>
      <c r="F102" s="1" t="s">
        <v>674</v>
      </c>
      <c r="G102" s="11" t="s">
        <v>392</v>
      </c>
      <c r="H102" s="11">
        <v>60632</v>
      </c>
      <c r="I102" s="1" t="str">
        <f t="shared" si="4"/>
        <v xml:space="preserve"> </v>
      </c>
      <c r="J102" s="1" t="str">
        <f t="shared" si="5"/>
        <v>Morlong Associates</v>
      </c>
      <c r="K102" s="1" t="str">
        <f t="shared" si="6"/>
        <v>7</v>
      </c>
      <c r="L102" s="1" t="str">
        <f>VLOOKUP(A102,'Data Set 3 - Contacts'!$A$2:$F$136,5,FALSE)</f>
        <v>7735736914</v>
      </c>
      <c r="M102" s="1" t="str">
        <f>VLOOKUP(A102,'Data Set 3 - Contacts'!$A$2:$F$136,6,FALSE)</f>
        <v>7739248565</v>
      </c>
      <c r="N102" s="1" t="str">
        <f>VLOOKUP(A102,'Data Set 3 - Contacts'!$A$2:$F$136,4,FALSE)</f>
        <v>mitsue_tollner@yahoo.com</v>
      </c>
      <c r="O102" s="1">
        <f>_xlfn.XLOOKUP(A102,'Data Set 2 - Vehicles'!$A$2:$A$158,'Data Set 2 - Vehicles'!$B$2:$B$158,0,0,-1)</f>
        <v>1</v>
      </c>
      <c r="P102" s="1" t="str">
        <f>_xlfn.XLOOKUP(A102,'Data Set 2 - Vehicles'!$A$2:$A$158,'Data Set 2 - Vehicles'!$E$2:$E$158,"Not Found",0,1)</f>
        <v>Mystique</v>
      </c>
      <c r="Q102" s="1" t="str">
        <f>IF(_xlfn.CONCAT(_xlfn.XLOOKUP(A102,'Data Set 2 - Vehicles'!$A$2:$A$158,'Data Set 2 - Vehicles'!$D$2:$D$158,"Not Found",0,1)," ",_xlfn.XLOOKUP(A102,'Data Set 2 - Vehicles'!$A$2:$A$158,'Data Set 2 - Vehicles'!$E$2:$E$158,"Not Found",0,1))="Not Found Not Found", "Not Found",_xlfn.CONCAT(_xlfn.XLOOKUP(A102,'Data Set 2 - Vehicles'!$A$2:$A$158,'Data Set 2 - Vehicles'!$D$2:$D$158,"Not Found",0,1)," ",_xlfn.XLOOKUP(A102,'Data Set 2 - Vehicles'!$A$2:$A$158,'Data Set 2 - Vehicles'!$E$2:$E$158,"Not Found",0,1)))</f>
        <v>Mercury Mystique</v>
      </c>
      <c r="R102" s="5">
        <f>_xlfn.XLOOKUP(A102,'Data Set 2 - Vehicles'!$A$2:$A$158,'Data Set 2 - Vehicles'!$O$2:$O$158,"",0,1)</f>
        <v>43088</v>
      </c>
      <c r="S102" s="1" t="str">
        <f>IF(_xlfn.XLOOKUP(A102,'Data Set 2 - Vehicles'!$A$2:$A$158,'Data Set 2 - Vehicles'!$E$2:$E$158,"Has No Vehicle",0,-1)=P102,"Has Only One Vehicle",_xlfn.XLOOKUP(A102,'Data Set 2 - Vehicles'!$A$2:$A$158,'Data Set 2 - Vehicles'!$E$2:$E$158,"Has No Vehcile",0,-1))</f>
        <v>Has Only One Vehicle</v>
      </c>
      <c r="T102" s="1" t="str">
        <f>_xlfn.LET(_xlpm.mfcname,_xlfn.XLOOKUP(A102,'Data Set 2 - Vehicles'!$A$2:$A$158,'Data Set 2 - Vehicles'!$D$2:$D$158,"NF",0,-1),_xlpm.mdlname,_xlfn.XLOOKUP(A102,'Data Set 2 - Vehicles'!$A$2:$A$158,'Data Set 2 - Vehicles'!$E$2:$E$158,"NF",0,-1),_xlpm.vehcilename,_xlfn.CONCAT(_xlpm.mfcname," ",_xlpm.mdlname),IF(S102="Has No Vehicle","Has No Vehicle",IF(S102="Has Only One Vehicle","Has Only One Vehicle",IF(_xlpm.vehcilename="NF NF","Not Found",_xlpm.vehcilename))))</f>
        <v>Has Only One Vehicle</v>
      </c>
      <c r="U102" s="24" t="str">
        <f>_xlfn.LET(_xlpm.vserdate,_xlfn.XLOOKUP(A102,'Data Set 2 - Vehicles'!$A$2:$A$158,'Data Set 2 - Vehicles'!$O$2:$O$158,"NF",0,-1), IF(OR('Data Set 1'!S102="Has No Vehicle",'Data Set 1'!S102="Has Only One Vehicle"),'Data Set 1'!S102,_xlpm.vserdate))</f>
        <v>Has Only One Vehicle</v>
      </c>
      <c r="V102" s="1">
        <f>SUMIF('Data Set 2 - Vehicles'!$A$2:$A$158,'Data Set 1'!A102,'Data Set 2 - Vehicles'!$Q$2:$Q$158)</f>
        <v>295413</v>
      </c>
      <c r="W102" s="5">
        <f>_xlfn.LET(_xlpm.maxdate,_xlfn.MAXIFS('Data Set 2 - Vehicles'!$O$2:$O$158,'Data Set 2 - Vehicles'!$A$2:$A$158,'Data Set 1'!A102),IF(_xlpm.maxdate=0,"",_xlpm.maxdate))</f>
        <v>43088</v>
      </c>
      <c r="X102" s="1" t="str">
        <f t="shared" ca="1" si="7"/>
        <v>InActive</v>
      </c>
      <c r="Y10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03" spans="1:25" ht="12.75" x14ac:dyDescent="0.35">
      <c r="A103" s="15">
        <v>1171</v>
      </c>
      <c r="B103" s="1" t="s">
        <v>892</v>
      </c>
      <c r="C103" s="1" t="s">
        <v>893</v>
      </c>
      <c r="D103" s="7"/>
      <c r="E103" s="1" t="s">
        <v>894</v>
      </c>
      <c r="F103" s="1" t="s">
        <v>895</v>
      </c>
      <c r="G103" s="11" t="s">
        <v>392</v>
      </c>
      <c r="H103" s="11">
        <v>60090</v>
      </c>
      <c r="I103" s="1" t="str">
        <f t="shared" si="4"/>
        <v>Jennifer Fallick</v>
      </c>
      <c r="J103" s="1" t="str">
        <f t="shared" si="5"/>
        <v>Jennifer Fallick</v>
      </c>
      <c r="K103" s="1" t="str">
        <f t="shared" si="6"/>
        <v>44</v>
      </c>
      <c r="L103" s="1" t="str">
        <f>VLOOKUP(A103,'Data Set 3 - Contacts'!$A$2:$F$136,5,FALSE)</f>
        <v>8479799545</v>
      </c>
      <c r="M103" s="1" t="str">
        <f>VLOOKUP(A103,'Data Set 3 - Contacts'!$A$2:$F$136,6,FALSE)</f>
        <v/>
      </c>
      <c r="N103" s="1" t="str">
        <f>VLOOKUP(A103,'Data Set 3 - Contacts'!$A$2:$F$136,4,FALSE)</f>
        <v>jfallick@yahoo.com</v>
      </c>
      <c r="O103" s="1">
        <f>_xlfn.XLOOKUP(A103,'Data Set 2 - Vehicles'!$A$2:$A$158,'Data Set 2 - Vehicles'!$B$2:$B$158,0,0,-1)</f>
        <v>1</v>
      </c>
      <c r="P103" s="1" t="str">
        <f>_xlfn.XLOOKUP(A103,'Data Set 2 - Vehicles'!$A$2:$A$158,'Data Set 2 - Vehicles'!$E$2:$E$158,"Not Found",0,1)</f>
        <v>Diamante</v>
      </c>
      <c r="Q103" s="1" t="str">
        <f>IF(_xlfn.CONCAT(_xlfn.XLOOKUP(A103,'Data Set 2 - Vehicles'!$A$2:$A$158,'Data Set 2 - Vehicles'!$D$2:$D$158,"Not Found",0,1)," ",_xlfn.XLOOKUP(A103,'Data Set 2 - Vehicles'!$A$2:$A$158,'Data Set 2 - Vehicles'!$E$2:$E$158,"Not Found",0,1))="Not Found Not Found", "Not Found",_xlfn.CONCAT(_xlfn.XLOOKUP(A103,'Data Set 2 - Vehicles'!$A$2:$A$158,'Data Set 2 - Vehicles'!$D$2:$D$158,"Not Found",0,1)," ",_xlfn.XLOOKUP(A103,'Data Set 2 - Vehicles'!$A$2:$A$158,'Data Set 2 - Vehicles'!$E$2:$E$158,"Not Found",0,1)))</f>
        <v>Mitsubishi Diamante</v>
      </c>
      <c r="R103" s="5">
        <f>_xlfn.XLOOKUP(A103,'Data Set 2 - Vehicles'!$A$2:$A$158,'Data Set 2 - Vehicles'!$O$2:$O$158,"",0,1)</f>
        <v>40053</v>
      </c>
      <c r="S103" s="1" t="str">
        <f>IF(_xlfn.XLOOKUP(A103,'Data Set 2 - Vehicles'!$A$2:$A$158,'Data Set 2 - Vehicles'!$E$2:$E$158,"Has No Vehicle",0,-1)=P103,"Has Only One Vehicle",_xlfn.XLOOKUP(A103,'Data Set 2 - Vehicles'!$A$2:$A$158,'Data Set 2 - Vehicles'!$E$2:$E$158,"Has No Vehcile",0,-1))</f>
        <v>Has Only One Vehicle</v>
      </c>
      <c r="T103" s="1" t="str">
        <f>_xlfn.LET(_xlpm.mfcname,_xlfn.XLOOKUP(A103,'Data Set 2 - Vehicles'!$A$2:$A$158,'Data Set 2 - Vehicles'!$D$2:$D$158,"NF",0,-1),_xlpm.mdlname,_xlfn.XLOOKUP(A103,'Data Set 2 - Vehicles'!$A$2:$A$158,'Data Set 2 - Vehicles'!$E$2:$E$158,"NF",0,-1),_xlpm.vehcilename,_xlfn.CONCAT(_xlpm.mfcname," ",_xlpm.mdlname),IF(S103="Has No Vehicle","Has No Vehicle",IF(S103="Has Only One Vehicle","Has Only One Vehicle",IF(_xlpm.vehcilename="NF NF","Not Found",_xlpm.vehcilename))))</f>
        <v>Has Only One Vehicle</v>
      </c>
      <c r="U103" s="24" t="str">
        <f>_xlfn.LET(_xlpm.vserdate,_xlfn.XLOOKUP(A103,'Data Set 2 - Vehicles'!$A$2:$A$158,'Data Set 2 - Vehicles'!$O$2:$O$158,"NF",0,-1), IF(OR('Data Set 1'!S103="Has No Vehicle",'Data Set 1'!S103="Has Only One Vehicle"),'Data Set 1'!S103,_xlpm.vserdate))</f>
        <v>Has Only One Vehicle</v>
      </c>
      <c r="V103" s="1">
        <f>SUMIF('Data Set 2 - Vehicles'!$A$2:$A$158,'Data Set 1'!A103,'Data Set 2 - Vehicles'!$Q$2:$Q$158)</f>
        <v>275044</v>
      </c>
      <c r="W103" s="5">
        <f>_xlfn.LET(_xlpm.maxdate,_xlfn.MAXIFS('Data Set 2 - Vehicles'!$O$2:$O$158,'Data Set 2 - Vehicles'!$A$2:$A$158,'Data Set 1'!A103),IF(_xlpm.maxdate=0,"",_xlpm.maxdate))</f>
        <v>40053</v>
      </c>
      <c r="X103" s="1" t="str">
        <f t="shared" ca="1" si="7"/>
        <v>InActive</v>
      </c>
      <c r="Y10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04" spans="1:25" ht="12.75" x14ac:dyDescent="0.35">
      <c r="A104" s="15">
        <v>1130</v>
      </c>
      <c r="B104" s="1"/>
      <c r="C104" s="1"/>
      <c r="D104" s="7" t="s">
        <v>898</v>
      </c>
      <c r="E104" s="1" t="s">
        <v>899</v>
      </c>
      <c r="F104" s="1" t="s">
        <v>900</v>
      </c>
      <c r="G104" s="11" t="s">
        <v>405</v>
      </c>
      <c r="H104" s="11">
        <v>10468</v>
      </c>
      <c r="I104" s="1" t="str">
        <f t="shared" si="4"/>
        <v xml:space="preserve"> </v>
      </c>
      <c r="J104" s="1" t="str">
        <f t="shared" si="5"/>
        <v>Nelson Hawaiian Ltd</v>
      </c>
      <c r="K104" s="1" t="str">
        <f t="shared" si="6"/>
        <v>6</v>
      </c>
      <c r="L104" s="1" t="str">
        <f>VLOOKUP(A104,'Data Set 3 - Contacts'!$A$2:$F$136,5,FALSE)</f>
        <v>7188093762</v>
      </c>
      <c r="M104" s="1" t="str">
        <f>VLOOKUP(A104,'Data Set 3 - Contacts'!$A$2:$F$136,6,FALSE)</f>
        <v>7184788568</v>
      </c>
      <c r="N104" s="1" t="str">
        <f>VLOOKUP(A104,'Data Set 3 - Contacts'!$A$2:$F$136,4,FALSE)</f>
        <v>bok.isaacs@aol.com</v>
      </c>
      <c r="O104" s="1">
        <f>_xlfn.XLOOKUP(A104,'Data Set 2 - Vehicles'!$A$2:$A$158,'Data Set 2 - Vehicles'!$B$2:$B$158,0,0,-1)</f>
        <v>0</v>
      </c>
      <c r="P104" s="1" t="str">
        <f>_xlfn.XLOOKUP(A104,'Data Set 2 - Vehicles'!$A$2:$A$158,'Data Set 2 - Vehicles'!$E$2:$E$158,"Not Found",0,1)</f>
        <v>Not Found</v>
      </c>
      <c r="Q104" s="1" t="str">
        <f>IF(_xlfn.CONCAT(_xlfn.XLOOKUP(A104,'Data Set 2 - Vehicles'!$A$2:$A$158,'Data Set 2 - Vehicles'!$D$2:$D$158,"Not Found",0,1)," ",_xlfn.XLOOKUP(A104,'Data Set 2 - Vehicles'!$A$2:$A$158,'Data Set 2 - Vehicles'!$E$2:$E$158,"Not Found",0,1))="Not Found Not Found", "Not Found",_xlfn.CONCAT(_xlfn.XLOOKUP(A104,'Data Set 2 - Vehicles'!$A$2:$A$158,'Data Set 2 - Vehicles'!$D$2:$D$158,"Not Found",0,1)," ",_xlfn.XLOOKUP(A104,'Data Set 2 - Vehicles'!$A$2:$A$158,'Data Set 2 - Vehicles'!$E$2:$E$158,"Not Found",0,1)))</f>
        <v>Not Found</v>
      </c>
      <c r="R104" s="5" t="str">
        <f>_xlfn.XLOOKUP(A104,'Data Set 2 - Vehicles'!$A$2:$A$158,'Data Set 2 - Vehicles'!$O$2:$O$158,"",0,1)</f>
        <v/>
      </c>
      <c r="S104" s="1" t="str">
        <f>IF(_xlfn.XLOOKUP(A104,'Data Set 2 - Vehicles'!$A$2:$A$158,'Data Set 2 - Vehicles'!$E$2:$E$158,"Has No Vehicle",0,-1)=P104,"Has Only One Vehicle",_xlfn.XLOOKUP(A104,'Data Set 2 - Vehicles'!$A$2:$A$158,'Data Set 2 - Vehicles'!$E$2:$E$158,"Has No Vehcile",0,-1))</f>
        <v>Has No Vehcile</v>
      </c>
      <c r="T104" s="1" t="str">
        <f>_xlfn.LET(_xlpm.mfcname,_xlfn.XLOOKUP(A104,'Data Set 2 - Vehicles'!$A$2:$A$158,'Data Set 2 - Vehicles'!$D$2:$D$158,"NF",0,-1),_xlpm.mdlname,_xlfn.XLOOKUP(A104,'Data Set 2 - Vehicles'!$A$2:$A$158,'Data Set 2 - Vehicles'!$E$2:$E$158,"NF",0,-1),_xlpm.vehcilename,_xlfn.CONCAT(_xlpm.mfcname," ",_xlpm.mdlname),IF(S104="Has No Vehicle","Has No Vehicle",IF(S104="Has Only One Vehicle","Has Only One Vehicle",IF(_xlpm.vehcilename="NF NF","Not Found",_xlpm.vehcilename))))</f>
        <v>Not Found</v>
      </c>
      <c r="U104" s="24" t="str">
        <f>_xlfn.LET(_xlpm.vserdate,_xlfn.XLOOKUP(A104,'Data Set 2 - Vehicles'!$A$2:$A$158,'Data Set 2 - Vehicles'!$O$2:$O$158,"NF",0,-1), IF(OR('Data Set 1'!S104="Has No Vehicle",'Data Set 1'!S104="Has Only One Vehicle"),'Data Set 1'!S104,_xlpm.vserdate))</f>
        <v>NF</v>
      </c>
      <c r="V104" s="1">
        <f>SUMIF('Data Set 2 - Vehicles'!$A$2:$A$158,'Data Set 1'!A104,'Data Set 2 - Vehicles'!$Q$2:$Q$158)</f>
        <v>0</v>
      </c>
      <c r="W104" s="5" t="str">
        <f>_xlfn.LET(_xlpm.maxdate,_xlfn.MAXIFS('Data Set 2 - Vehicles'!$O$2:$O$158,'Data Set 2 - Vehicles'!$A$2:$A$158,'Data Set 1'!A104),IF(_xlpm.maxdate=0,"",_xlpm.maxdate))</f>
        <v/>
      </c>
      <c r="X104" s="1" t="str">
        <f t="shared" ca="1" si="7"/>
        <v>No Service Record</v>
      </c>
      <c r="Y10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105" spans="1:25" ht="12.75" x14ac:dyDescent="0.35">
      <c r="A105" s="15">
        <v>1144</v>
      </c>
      <c r="B105" s="1" t="s">
        <v>901</v>
      </c>
      <c r="C105" s="1" t="s">
        <v>902</v>
      </c>
      <c r="D105" s="7"/>
      <c r="E105" s="1" t="s">
        <v>903</v>
      </c>
      <c r="F105" s="1" t="s">
        <v>668</v>
      </c>
      <c r="G105" s="11" t="s">
        <v>478</v>
      </c>
      <c r="H105" s="11">
        <v>37211</v>
      </c>
      <c r="I105" s="1" t="str">
        <f t="shared" si="4"/>
        <v>Audra Kohnert</v>
      </c>
      <c r="J105" s="1" t="str">
        <f t="shared" si="5"/>
        <v>Audra Kohnert</v>
      </c>
      <c r="K105" s="1" t="str">
        <f t="shared" si="6"/>
        <v>134</v>
      </c>
      <c r="L105" s="1" t="str">
        <f>VLOOKUP(A105,'Data Set 3 - Contacts'!$A$2:$F$136,5,FALSE)</f>
        <v>6154067854</v>
      </c>
      <c r="M105" s="1" t="str">
        <f>VLOOKUP(A105,'Data Set 3 - Contacts'!$A$2:$F$136,6,FALSE)</f>
        <v/>
      </c>
      <c r="N105" s="1" t="str">
        <f>VLOOKUP(A105,'Data Set 3 - Contacts'!$A$2:$F$136,4,FALSE)</f>
        <v>audra@kohnert.com</v>
      </c>
      <c r="O105" s="1">
        <f>_xlfn.XLOOKUP(A105,'Data Set 2 - Vehicles'!$A$2:$A$158,'Data Set 2 - Vehicles'!$B$2:$B$158,0,0,-1)</f>
        <v>2</v>
      </c>
      <c r="P105" s="1" t="str">
        <f>_xlfn.XLOOKUP(A105,'Data Set 2 - Vehicles'!$A$2:$A$158,'Data Set 2 - Vehicles'!$E$2:$E$158,"Not Found",0,1)</f>
        <v>Silhouette</v>
      </c>
      <c r="Q105" s="1" t="str">
        <f>IF(_xlfn.CONCAT(_xlfn.XLOOKUP(A105,'Data Set 2 - Vehicles'!$A$2:$A$158,'Data Set 2 - Vehicles'!$D$2:$D$158,"Not Found",0,1)," ",_xlfn.XLOOKUP(A105,'Data Set 2 - Vehicles'!$A$2:$A$158,'Data Set 2 - Vehicles'!$E$2:$E$158,"Not Found",0,1))="Not Found Not Found", "Not Found",_xlfn.CONCAT(_xlfn.XLOOKUP(A105,'Data Set 2 - Vehicles'!$A$2:$A$158,'Data Set 2 - Vehicles'!$D$2:$D$158,"Not Found",0,1)," ",_xlfn.XLOOKUP(A105,'Data Set 2 - Vehicles'!$A$2:$A$158,'Data Set 2 - Vehicles'!$E$2:$E$158,"Not Found",0,1)))</f>
        <v>Oldsmobile Silhouette</v>
      </c>
      <c r="R105" s="5">
        <f>_xlfn.XLOOKUP(A105,'Data Set 2 - Vehicles'!$A$2:$A$158,'Data Set 2 - Vehicles'!$O$2:$O$158,"",0,1)</f>
        <v>42180</v>
      </c>
      <c r="S105" s="1" t="str">
        <f>IF(_xlfn.XLOOKUP(A105,'Data Set 2 - Vehicles'!$A$2:$A$158,'Data Set 2 - Vehicles'!$E$2:$E$158,"Has No Vehicle",0,-1)=P105,"Has Only One Vehicle",_xlfn.XLOOKUP(A105,'Data Set 2 - Vehicles'!$A$2:$A$158,'Data Set 2 - Vehicles'!$E$2:$E$158,"Has No Vehcile",0,-1))</f>
        <v>Camry</v>
      </c>
      <c r="T105" s="1" t="str">
        <f>_xlfn.LET(_xlpm.mfcname,_xlfn.XLOOKUP(A105,'Data Set 2 - Vehicles'!$A$2:$A$158,'Data Set 2 - Vehicles'!$D$2:$D$158,"NF",0,-1),_xlpm.mdlname,_xlfn.XLOOKUP(A105,'Data Set 2 - Vehicles'!$A$2:$A$158,'Data Set 2 - Vehicles'!$E$2:$E$158,"NF",0,-1),_xlpm.vehcilename,_xlfn.CONCAT(_xlpm.mfcname," ",_xlpm.mdlname),IF(S105="Has No Vehicle","Has No Vehicle",IF(S105="Has Only One Vehicle","Has Only One Vehicle",IF(_xlpm.vehcilename="NF NF","Not Found",_xlpm.vehcilename))))</f>
        <v>Toyota Camry</v>
      </c>
      <c r="U105" s="24">
        <f>_xlfn.LET(_xlpm.vserdate,_xlfn.XLOOKUP(A105,'Data Set 2 - Vehicles'!$A$2:$A$158,'Data Set 2 - Vehicles'!$O$2:$O$158,"NF",0,-1), IF(OR('Data Set 1'!S105="Has No Vehicle",'Data Set 1'!S105="Has Only One Vehicle"),'Data Set 1'!S105,_xlpm.vserdate))</f>
        <v>43141</v>
      </c>
      <c r="V105" s="1">
        <f>SUMIF('Data Set 2 - Vehicles'!$A$2:$A$158,'Data Set 1'!A105,'Data Set 2 - Vehicles'!$Q$2:$Q$158)</f>
        <v>537193</v>
      </c>
      <c r="W105" s="5">
        <f>_xlfn.LET(_xlpm.maxdate,_xlfn.MAXIFS('Data Set 2 - Vehicles'!$O$2:$O$158,'Data Set 2 - Vehicles'!$A$2:$A$158,'Data Set 1'!A105),IF(_xlpm.maxdate=0,"",_xlpm.maxdate))</f>
        <v>43141</v>
      </c>
      <c r="X105" s="1" t="str">
        <f t="shared" ca="1" si="7"/>
        <v>InActive</v>
      </c>
      <c r="Y10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06" spans="1:25" ht="12.75" x14ac:dyDescent="0.35">
      <c r="A106" s="15">
        <v>1150</v>
      </c>
      <c r="B106" s="1" t="s">
        <v>905</v>
      </c>
      <c r="C106" s="1" t="s">
        <v>906</v>
      </c>
      <c r="D106" s="7" t="s">
        <v>907</v>
      </c>
      <c r="E106" s="1" t="s">
        <v>908</v>
      </c>
      <c r="F106" s="1" t="s">
        <v>834</v>
      </c>
      <c r="G106" s="11" t="s">
        <v>419</v>
      </c>
      <c r="H106" s="11">
        <v>8401</v>
      </c>
      <c r="I106" s="1" t="str">
        <f t="shared" si="4"/>
        <v>Josphine Villanueva</v>
      </c>
      <c r="J106" s="1" t="str">
        <f t="shared" si="5"/>
        <v>Josphine Villanueva</v>
      </c>
      <c r="K106" s="1" t="str">
        <f t="shared" si="6"/>
        <v>92</v>
      </c>
      <c r="L106" s="1" t="str">
        <f>VLOOKUP(A106,'Data Set 3 - Contacts'!$A$2:$F$136,5,FALSE)</f>
        <v>6095187697</v>
      </c>
      <c r="M106" s="1" t="str">
        <f>VLOOKUP(A106,'Data Set 3 - Contacts'!$A$2:$F$136,6,FALSE)</f>
        <v>6092639243</v>
      </c>
      <c r="N106" s="1" t="str">
        <f>VLOOKUP(A106,'Data Set 3 - Contacts'!$A$2:$F$136,4,FALSE)</f>
        <v>cheryl@haroldson.org</v>
      </c>
      <c r="O106" s="1">
        <f>_xlfn.XLOOKUP(A106,'Data Set 2 - Vehicles'!$A$2:$A$158,'Data Set 2 - Vehicles'!$B$2:$B$158,0,0,-1)</f>
        <v>1</v>
      </c>
      <c r="P106" s="1" t="str">
        <f>_xlfn.XLOOKUP(A106,'Data Set 2 - Vehicles'!$A$2:$A$158,'Data Set 2 - Vehicles'!$E$2:$E$158,"Not Found",0,1)</f>
        <v>Corvette</v>
      </c>
      <c r="Q106" s="1" t="str">
        <f>IF(_xlfn.CONCAT(_xlfn.XLOOKUP(A106,'Data Set 2 - Vehicles'!$A$2:$A$158,'Data Set 2 - Vehicles'!$D$2:$D$158,"Not Found",0,1)," ",_xlfn.XLOOKUP(A106,'Data Set 2 - Vehicles'!$A$2:$A$158,'Data Set 2 - Vehicles'!$E$2:$E$158,"Not Found",0,1))="Not Found Not Found", "Not Found",_xlfn.CONCAT(_xlfn.XLOOKUP(A106,'Data Set 2 - Vehicles'!$A$2:$A$158,'Data Set 2 - Vehicles'!$D$2:$D$158,"Not Found",0,1)," ",_xlfn.XLOOKUP(A106,'Data Set 2 - Vehicles'!$A$2:$A$158,'Data Set 2 - Vehicles'!$E$2:$E$158,"Not Found",0,1)))</f>
        <v>Chevrolet Corvette</v>
      </c>
      <c r="R106" s="5">
        <f>_xlfn.XLOOKUP(A106,'Data Set 2 - Vehicles'!$A$2:$A$158,'Data Set 2 - Vehicles'!$O$2:$O$158,"",0,1)</f>
        <v>39214</v>
      </c>
      <c r="S106" s="1" t="str">
        <f>IF(_xlfn.XLOOKUP(A106,'Data Set 2 - Vehicles'!$A$2:$A$158,'Data Set 2 - Vehicles'!$E$2:$E$158,"Has No Vehicle",0,-1)=P106,"Has Only One Vehicle",_xlfn.XLOOKUP(A106,'Data Set 2 - Vehicles'!$A$2:$A$158,'Data Set 2 - Vehicles'!$E$2:$E$158,"Has No Vehcile",0,-1))</f>
        <v>Has Only One Vehicle</v>
      </c>
      <c r="T106" s="1" t="str">
        <f>_xlfn.LET(_xlpm.mfcname,_xlfn.XLOOKUP(A106,'Data Set 2 - Vehicles'!$A$2:$A$158,'Data Set 2 - Vehicles'!$D$2:$D$158,"NF",0,-1),_xlpm.mdlname,_xlfn.XLOOKUP(A106,'Data Set 2 - Vehicles'!$A$2:$A$158,'Data Set 2 - Vehicles'!$E$2:$E$158,"NF",0,-1),_xlpm.vehcilename,_xlfn.CONCAT(_xlpm.mfcname," ",_xlpm.mdlname),IF(S106="Has No Vehicle","Has No Vehicle",IF(S106="Has Only One Vehicle","Has Only One Vehicle",IF(_xlpm.vehcilename="NF NF","Not Found",_xlpm.vehcilename))))</f>
        <v>Has Only One Vehicle</v>
      </c>
      <c r="U106" s="24" t="str">
        <f>_xlfn.LET(_xlpm.vserdate,_xlfn.XLOOKUP(A106,'Data Set 2 - Vehicles'!$A$2:$A$158,'Data Set 2 - Vehicles'!$O$2:$O$158,"NF",0,-1), IF(OR('Data Set 1'!S106="Has No Vehicle",'Data Set 1'!S106="Has Only One Vehicle"),'Data Set 1'!S106,_xlpm.vserdate))</f>
        <v>Has Only One Vehicle</v>
      </c>
      <c r="V106" s="1">
        <f>SUMIF('Data Set 2 - Vehicles'!$A$2:$A$158,'Data Set 1'!A106,'Data Set 2 - Vehicles'!$Q$2:$Q$158)</f>
        <v>260214</v>
      </c>
      <c r="W106" s="5">
        <f>_xlfn.LET(_xlpm.maxdate,_xlfn.MAXIFS('Data Set 2 - Vehicles'!$O$2:$O$158,'Data Set 2 - Vehicles'!$A$2:$A$158,'Data Set 1'!A106),IF(_xlpm.maxdate=0,"",_xlpm.maxdate))</f>
        <v>39214</v>
      </c>
      <c r="X106" s="1" t="str">
        <f t="shared" ca="1" si="7"/>
        <v>InActive</v>
      </c>
      <c r="Y10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07" spans="1:25" ht="12.75" x14ac:dyDescent="0.35">
      <c r="A107" s="17">
        <v>1139</v>
      </c>
      <c r="B107" s="1"/>
      <c r="C107" s="1"/>
      <c r="D107" s="7" t="s">
        <v>910</v>
      </c>
      <c r="E107" s="1" t="s">
        <v>911</v>
      </c>
      <c r="F107" s="1" t="s">
        <v>784</v>
      </c>
      <c r="G107" s="11" t="s">
        <v>660</v>
      </c>
      <c r="H107" s="11">
        <v>75227</v>
      </c>
      <c r="I107" s="1" t="str">
        <f t="shared" si="4"/>
        <v xml:space="preserve"> </v>
      </c>
      <c r="J107" s="1" t="str">
        <f t="shared" si="5"/>
        <v>Ninas Indian Grs &amp; Videos</v>
      </c>
      <c r="K107" s="1" t="str">
        <f t="shared" si="6"/>
        <v>627</v>
      </c>
      <c r="L107" s="1" t="str">
        <f>VLOOKUP(A107,'Data Set 3 - Contacts'!$A$2:$F$136,5,FALSE)</f>
        <v>2143391809</v>
      </c>
      <c r="M107" s="1" t="str">
        <f>VLOOKUP(A107,'Data Set 3 - Contacts'!$A$2:$F$136,6,FALSE)</f>
        <v/>
      </c>
      <c r="N107" s="1" t="str">
        <f>VLOOKUP(A107,'Data Set 3 - Contacts'!$A$2:$F$136,4,FALSE)</f>
        <v>lhagele@cox.net</v>
      </c>
      <c r="O107" s="1">
        <f>_xlfn.XLOOKUP(A107,'Data Set 2 - Vehicles'!$A$2:$A$158,'Data Set 2 - Vehicles'!$B$2:$B$158,0,0,-1)</f>
        <v>1</v>
      </c>
      <c r="P107" s="1" t="str">
        <f>_xlfn.XLOOKUP(A107,'Data Set 2 - Vehicles'!$A$2:$A$158,'Data Set 2 - Vehicles'!$E$2:$E$158,"Not Found",0,1)</f>
        <v>Xterra</v>
      </c>
      <c r="Q107" s="1" t="str">
        <f>IF(_xlfn.CONCAT(_xlfn.XLOOKUP(A107,'Data Set 2 - Vehicles'!$A$2:$A$158,'Data Set 2 - Vehicles'!$D$2:$D$158,"Not Found",0,1)," ",_xlfn.XLOOKUP(A107,'Data Set 2 - Vehicles'!$A$2:$A$158,'Data Set 2 - Vehicles'!$E$2:$E$158,"Not Found",0,1))="Not Found Not Found", "Not Found",_xlfn.CONCAT(_xlfn.XLOOKUP(A107,'Data Set 2 - Vehicles'!$A$2:$A$158,'Data Set 2 - Vehicles'!$D$2:$D$158,"Not Found",0,1)," ",_xlfn.XLOOKUP(A107,'Data Set 2 - Vehicles'!$A$2:$A$158,'Data Set 2 - Vehicles'!$E$2:$E$158,"Not Found",0,1)))</f>
        <v>Nissan Xterra</v>
      </c>
      <c r="R107" s="5">
        <f>_xlfn.XLOOKUP(A107,'Data Set 2 - Vehicles'!$A$2:$A$158,'Data Set 2 - Vehicles'!$O$2:$O$158,"",0,1)</f>
        <v>43489</v>
      </c>
      <c r="S107" s="1" t="str">
        <f>IF(_xlfn.XLOOKUP(A107,'Data Set 2 - Vehicles'!$A$2:$A$158,'Data Set 2 - Vehicles'!$E$2:$E$158,"Has No Vehicle",0,-1)=P107,"Has Only One Vehicle",_xlfn.XLOOKUP(A107,'Data Set 2 - Vehicles'!$A$2:$A$158,'Data Set 2 - Vehicles'!$E$2:$E$158,"Has No Vehcile",0,-1))</f>
        <v>Has Only One Vehicle</v>
      </c>
      <c r="T107" s="1" t="str">
        <f>_xlfn.LET(_xlpm.mfcname,_xlfn.XLOOKUP(A107,'Data Set 2 - Vehicles'!$A$2:$A$158,'Data Set 2 - Vehicles'!$D$2:$D$158,"NF",0,-1),_xlpm.mdlname,_xlfn.XLOOKUP(A107,'Data Set 2 - Vehicles'!$A$2:$A$158,'Data Set 2 - Vehicles'!$E$2:$E$158,"NF",0,-1),_xlpm.vehcilename,_xlfn.CONCAT(_xlpm.mfcname," ",_xlpm.mdlname),IF(S107="Has No Vehicle","Has No Vehicle",IF(S107="Has Only One Vehicle","Has Only One Vehicle",IF(_xlpm.vehcilename="NF NF","Not Found",_xlpm.vehcilename))))</f>
        <v>Has Only One Vehicle</v>
      </c>
      <c r="U107" s="24" t="str">
        <f>_xlfn.LET(_xlpm.vserdate,_xlfn.XLOOKUP(A107,'Data Set 2 - Vehicles'!$A$2:$A$158,'Data Set 2 - Vehicles'!$O$2:$O$158,"NF",0,-1), IF(OR('Data Set 1'!S107="Has No Vehicle",'Data Set 1'!S107="Has Only One Vehicle"),'Data Set 1'!S107,_xlpm.vserdate))</f>
        <v>Has Only One Vehicle</v>
      </c>
      <c r="V107" s="1">
        <f>SUMIF('Data Set 2 - Vehicles'!$A$2:$A$158,'Data Set 1'!A107,'Data Set 2 - Vehicles'!$Q$2:$Q$158)</f>
        <v>196901</v>
      </c>
      <c r="W107" s="5">
        <f>_xlfn.LET(_xlpm.maxdate,_xlfn.MAXIFS('Data Set 2 - Vehicles'!$O$2:$O$158,'Data Set 2 - Vehicles'!$A$2:$A$158,'Data Set 1'!A107),IF(_xlpm.maxdate=0,"",_xlpm.maxdate))</f>
        <v>43489</v>
      </c>
      <c r="X107" s="1" t="str">
        <f t="shared" ca="1" si="7"/>
        <v>InActive</v>
      </c>
      <c r="Y10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08" spans="1:25" ht="12.75" x14ac:dyDescent="0.35">
      <c r="A108" s="17">
        <v>1480</v>
      </c>
      <c r="B108" s="1" t="s">
        <v>913</v>
      </c>
      <c r="C108" s="1" t="s">
        <v>914</v>
      </c>
      <c r="D108" s="7" t="s">
        <v>915</v>
      </c>
      <c r="E108" s="1" t="s">
        <v>916</v>
      </c>
      <c r="F108" s="1" t="s">
        <v>643</v>
      </c>
      <c r="G108" s="11" t="s">
        <v>435</v>
      </c>
      <c r="H108" s="11">
        <v>94545</v>
      </c>
      <c r="I108" s="1" t="str">
        <f t="shared" si="4"/>
        <v>Refugia Jacobos</v>
      </c>
      <c r="J108" s="1" t="str">
        <f t="shared" si="5"/>
        <v>Refugia Jacobos</v>
      </c>
      <c r="K108" s="1" t="str">
        <f t="shared" si="6"/>
        <v>2184</v>
      </c>
      <c r="L108" s="1" t="str">
        <f>VLOOKUP(A108,'Data Set 3 - Contacts'!$A$2:$F$136,5,FALSE)</f>
        <v>5109748671</v>
      </c>
      <c r="M108" s="1" t="str">
        <f>VLOOKUP(A108,'Data Set 3 - Contacts'!$A$2:$F$136,6,FALSE)</f>
        <v>5105093496</v>
      </c>
      <c r="N108" s="1" t="str">
        <f>VLOOKUP(A108,'Data Set 3 - Contacts'!$A$2:$F$136,4,FALSE)</f>
        <v>refugia.jacobos@jacobos.com</v>
      </c>
      <c r="O108" s="1">
        <f>_xlfn.XLOOKUP(A108,'Data Set 2 - Vehicles'!$A$2:$A$158,'Data Set 2 - Vehicles'!$B$2:$B$158,0,0,-1)</f>
        <v>2</v>
      </c>
      <c r="P108" s="1" t="str">
        <f>_xlfn.XLOOKUP(A108,'Data Set 2 - Vehicles'!$A$2:$A$158,'Data Set 2 - Vehicles'!$E$2:$E$158,"Not Found",0,1)</f>
        <v>Century</v>
      </c>
      <c r="Q108" s="1" t="str">
        <f>IF(_xlfn.CONCAT(_xlfn.XLOOKUP(A108,'Data Set 2 - Vehicles'!$A$2:$A$158,'Data Set 2 - Vehicles'!$D$2:$D$158,"Not Found",0,1)," ",_xlfn.XLOOKUP(A108,'Data Set 2 - Vehicles'!$A$2:$A$158,'Data Set 2 - Vehicles'!$E$2:$E$158,"Not Found",0,1))="Not Found Not Found", "Not Found",_xlfn.CONCAT(_xlfn.XLOOKUP(A108,'Data Set 2 - Vehicles'!$A$2:$A$158,'Data Set 2 - Vehicles'!$D$2:$D$158,"Not Found",0,1)," ",_xlfn.XLOOKUP(A108,'Data Set 2 - Vehicles'!$A$2:$A$158,'Data Set 2 - Vehicles'!$E$2:$E$158,"Not Found",0,1)))</f>
        <v>Buick Century</v>
      </c>
      <c r="R108" s="5">
        <f>_xlfn.XLOOKUP(A108,'Data Set 2 - Vehicles'!$A$2:$A$158,'Data Set 2 - Vehicles'!$O$2:$O$158,"",0,1)</f>
        <v>44867</v>
      </c>
      <c r="S108" s="1" t="str">
        <f>IF(_xlfn.XLOOKUP(A108,'Data Set 2 - Vehicles'!$A$2:$A$158,'Data Set 2 - Vehicles'!$E$2:$E$158,"Has No Vehicle",0,-1)=P108,"Has Only One Vehicle",_xlfn.XLOOKUP(A108,'Data Set 2 - Vehicles'!$A$2:$A$158,'Data Set 2 - Vehicles'!$E$2:$E$158,"Has No Vehcile",0,-1))</f>
        <v>Expedition</v>
      </c>
      <c r="T108" s="1" t="str">
        <f>_xlfn.LET(_xlpm.mfcname,_xlfn.XLOOKUP(A108,'Data Set 2 - Vehicles'!$A$2:$A$158,'Data Set 2 - Vehicles'!$D$2:$D$158,"NF",0,-1),_xlpm.mdlname,_xlfn.XLOOKUP(A108,'Data Set 2 - Vehicles'!$A$2:$A$158,'Data Set 2 - Vehicles'!$E$2:$E$158,"NF",0,-1),_xlpm.vehcilename,_xlfn.CONCAT(_xlpm.mfcname," ",_xlpm.mdlname),IF(S108="Has No Vehicle","Has No Vehicle",IF(S108="Has Only One Vehicle","Has Only One Vehicle",IF(_xlpm.vehcilename="NF NF","Not Found",_xlpm.vehcilename))))</f>
        <v>Ford Expedition</v>
      </c>
      <c r="U108" s="24">
        <f>_xlfn.LET(_xlpm.vserdate,_xlfn.XLOOKUP(A108,'Data Set 2 - Vehicles'!$A$2:$A$158,'Data Set 2 - Vehicles'!$O$2:$O$158,"NF",0,-1), IF(OR('Data Set 1'!S108="Has No Vehicle",'Data Set 1'!S108="Has Only One Vehicle"),'Data Set 1'!S108,_xlpm.vserdate))</f>
        <v>45914</v>
      </c>
      <c r="V108" s="1">
        <f>SUMIF('Data Set 2 - Vehicles'!$A$2:$A$158,'Data Set 1'!A108,'Data Set 2 - Vehicles'!$Q$2:$Q$158)</f>
        <v>207363</v>
      </c>
      <c r="W108" s="5">
        <f>_xlfn.LET(_xlpm.maxdate,_xlfn.MAXIFS('Data Set 2 - Vehicles'!$O$2:$O$158,'Data Set 2 - Vehicles'!$A$2:$A$158,'Data Set 1'!A108),IF(_xlpm.maxdate=0,"",_xlpm.maxdate))</f>
        <v>45914</v>
      </c>
      <c r="X108" s="1" t="str">
        <f t="shared" ca="1" si="7"/>
        <v>Active</v>
      </c>
      <c r="Y10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09" spans="1:25" ht="12.75" x14ac:dyDescent="0.35">
      <c r="A109" s="15">
        <v>1102</v>
      </c>
      <c r="B109" s="1" t="s">
        <v>918</v>
      </c>
      <c r="C109" s="1" t="s">
        <v>919</v>
      </c>
      <c r="D109" s="7" t="s">
        <v>920</v>
      </c>
      <c r="E109" s="1" t="s">
        <v>921</v>
      </c>
      <c r="F109" s="1" t="s">
        <v>922</v>
      </c>
      <c r="G109" s="11" t="s">
        <v>435</v>
      </c>
      <c r="H109" s="11">
        <v>94577</v>
      </c>
      <c r="I109" s="1" t="str">
        <f t="shared" si="4"/>
        <v>Louisa Cronauer</v>
      </c>
      <c r="J109" s="1" t="str">
        <f t="shared" si="5"/>
        <v>Louisa Cronauer</v>
      </c>
      <c r="K109" s="1" t="str">
        <f t="shared" si="6"/>
        <v>524</v>
      </c>
      <c r="L109" s="1" t="str">
        <f>VLOOKUP(A109,'Data Set 3 - Contacts'!$A$2:$F$136,5,FALSE)</f>
        <v>5108287047</v>
      </c>
      <c r="M109" s="1" t="str">
        <f>VLOOKUP(A109,'Data Set 3 - Contacts'!$A$2:$F$136,6,FALSE)</f>
        <v>5104727758</v>
      </c>
      <c r="N109" s="1" t="str">
        <f>VLOOKUP(A109,'Data Set 3 - Contacts'!$A$2:$F$136,4,FALSE)</f>
        <v>louisa@cronauer.com</v>
      </c>
      <c r="O109" s="1">
        <f>_xlfn.XLOOKUP(A109,'Data Set 2 - Vehicles'!$A$2:$A$158,'Data Set 2 - Vehicles'!$B$2:$B$158,0,0,-1)</f>
        <v>2</v>
      </c>
      <c r="P109" s="1" t="str">
        <f>_xlfn.XLOOKUP(A109,'Data Set 2 - Vehicles'!$A$2:$A$158,'Data Set 2 - Vehicles'!$E$2:$E$158,"Not Found",0,1)</f>
        <v>528i</v>
      </c>
      <c r="Q109" s="1" t="str">
        <f>IF(_xlfn.CONCAT(_xlfn.XLOOKUP(A109,'Data Set 2 - Vehicles'!$A$2:$A$158,'Data Set 2 - Vehicles'!$D$2:$D$158,"Not Found",0,1)," ",_xlfn.XLOOKUP(A109,'Data Set 2 - Vehicles'!$A$2:$A$158,'Data Set 2 - Vehicles'!$E$2:$E$158,"Not Found",0,1))="Not Found Not Found", "Not Found",_xlfn.CONCAT(_xlfn.XLOOKUP(A109,'Data Set 2 - Vehicles'!$A$2:$A$158,'Data Set 2 - Vehicles'!$D$2:$D$158,"Not Found",0,1)," ",_xlfn.XLOOKUP(A109,'Data Set 2 - Vehicles'!$A$2:$A$158,'Data Set 2 - Vehicles'!$E$2:$E$158,"Not Found",0,1)))</f>
        <v>BMW 528i</v>
      </c>
      <c r="R109" s="5">
        <f>_xlfn.XLOOKUP(A109,'Data Set 2 - Vehicles'!$A$2:$A$158,'Data Set 2 - Vehicles'!$O$2:$O$158,"",0,1)</f>
        <v>45751</v>
      </c>
      <c r="S109" s="1" t="str">
        <f>IF(_xlfn.XLOOKUP(A109,'Data Set 2 - Vehicles'!$A$2:$A$158,'Data Set 2 - Vehicles'!$E$2:$E$158,"Has No Vehicle",0,-1)=P109,"Has Only One Vehicle",_xlfn.XLOOKUP(A109,'Data Set 2 - Vehicles'!$A$2:$A$158,'Data Set 2 - Vehicles'!$E$2:$E$158,"Has No Vehcile",0,-1))</f>
        <v>Windstar</v>
      </c>
      <c r="T109" s="1" t="str">
        <f>_xlfn.LET(_xlpm.mfcname,_xlfn.XLOOKUP(A109,'Data Set 2 - Vehicles'!$A$2:$A$158,'Data Set 2 - Vehicles'!$D$2:$D$158,"NF",0,-1),_xlpm.mdlname,_xlfn.XLOOKUP(A109,'Data Set 2 - Vehicles'!$A$2:$A$158,'Data Set 2 - Vehicles'!$E$2:$E$158,"NF",0,-1),_xlpm.vehcilename,_xlfn.CONCAT(_xlpm.mfcname," ",_xlpm.mdlname),IF(S109="Has No Vehicle","Has No Vehicle",IF(S109="Has Only One Vehicle","Has Only One Vehicle",IF(_xlpm.vehcilename="NF NF","Not Found",_xlpm.vehcilename))))</f>
        <v>Ford Windstar</v>
      </c>
      <c r="U109" s="24">
        <f>_xlfn.LET(_xlpm.vserdate,_xlfn.XLOOKUP(A109,'Data Set 2 - Vehicles'!$A$2:$A$158,'Data Set 2 - Vehicles'!$O$2:$O$158,"NF",0,-1), IF(OR('Data Set 1'!S109="Has No Vehicle",'Data Set 1'!S109="Has Only One Vehicle"),'Data Set 1'!S109,_xlpm.vserdate))</f>
        <v>44982</v>
      </c>
      <c r="V109" s="1">
        <f>SUMIF('Data Set 2 - Vehicles'!$A$2:$A$158,'Data Set 1'!A109,'Data Set 2 - Vehicles'!$Q$2:$Q$158)</f>
        <v>381548</v>
      </c>
      <c r="W109" s="5">
        <f>_xlfn.LET(_xlpm.maxdate,_xlfn.MAXIFS('Data Set 2 - Vehicles'!$O$2:$O$158,'Data Set 2 - Vehicles'!$A$2:$A$158,'Data Set 1'!A109),IF(_xlpm.maxdate=0,"",_xlpm.maxdate))</f>
        <v>45751</v>
      </c>
      <c r="X109" s="1" t="str">
        <f t="shared" ca="1" si="7"/>
        <v>Active</v>
      </c>
      <c r="Y10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10" spans="1:25" ht="12.75" x14ac:dyDescent="0.35">
      <c r="A110" s="15">
        <v>1288</v>
      </c>
      <c r="B110" s="1" t="s">
        <v>924</v>
      </c>
      <c r="C110" s="1" t="s">
        <v>925</v>
      </c>
      <c r="D110" s="7"/>
      <c r="E110" s="1" t="s">
        <v>926</v>
      </c>
      <c r="F110" s="1" t="s">
        <v>668</v>
      </c>
      <c r="G110" s="11" t="s">
        <v>478</v>
      </c>
      <c r="H110" s="11">
        <v>37211</v>
      </c>
      <c r="I110" s="1" t="str">
        <f t="shared" si="4"/>
        <v>Casie Good</v>
      </c>
      <c r="J110" s="1" t="str">
        <f t="shared" si="5"/>
        <v>Casie Good</v>
      </c>
      <c r="K110" s="1" t="str">
        <f t="shared" si="6"/>
        <v>5221</v>
      </c>
      <c r="L110" s="1" t="str">
        <f>VLOOKUP(A110,'Data Set 3 - Contacts'!$A$2:$F$136,5,FALSE)</f>
        <v>6153902251</v>
      </c>
      <c r="M110" s="1" t="str">
        <f>VLOOKUP(A110,'Data Set 3 - Contacts'!$A$2:$F$136,6,FALSE)</f>
        <v/>
      </c>
      <c r="N110" s="1" t="str">
        <f>VLOOKUP(A110,'Data Set 3 - Contacts'!$A$2:$F$136,4,FALSE)</f>
        <v>casie.good@aol.com</v>
      </c>
      <c r="O110" s="1">
        <f>_xlfn.XLOOKUP(A110,'Data Set 2 - Vehicles'!$A$2:$A$158,'Data Set 2 - Vehicles'!$B$2:$B$158,0,0,-1)</f>
        <v>2</v>
      </c>
      <c r="P110" s="1" t="str">
        <f>_xlfn.XLOOKUP(A110,'Data Set 2 - Vehicles'!$A$2:$A$158,'Data Set 2 - Vehicles'!$E$2:$E$158,"Not Found",0,1)</f>
        <v>Breeze</v>
      </c>
      <c r="Q110" s="1" t="str">
        <f>IF(_xlfn.CONCAT(_xlfn.XLOOKUP(A110,'Data Set 2 - Vehicles'!$A$2:$A$158,'Data Set 2 - Vehicles'!$D$2:$D$158,"Not Found",0,1)," ",_xlfn.XLOOKUP(A110,'Data Set 2 - Vehicles'!$A$2:$A$158,'Data Set 2 - Vehicles'!$E$2:$E$158,"Not Found",0,1))="Not Found Not Found", "Not Found",_xlfn.CONCAT(_xlfn.XLOOKUP(A110,'Data Set 2 - Vehicles'!$A$2:$A$158,'Data Set 2 - Vehicles'!$D$2:$D$158,"Not Found",0,1)," ",_xlfn.XLOOKUP(A110,'Data Set 2 - Vehicles'!$A$2:$A$158,'Data Set 2 - Vehicles'!$E$2:$E$158,"Not Found",0,1)))</f>
        <v>Plymouth Breeze</v>
      </c>
      <c r="R110" s="5">
        <f>_xlfn.XLOOKUP(A110,'Data Set 2 - Vehicles'!$A$2:$A$158,'Data Set 2 - Vehicles'!$O$2:$O$158,"",0,1)</f>
        <v>40131</v>
      </c>
      <c r="S110" s="1" t="str">
        <f>IF(_xlfn.XLOOKUP(A110,'Data Set 2 - Vehicles'!$A$2:$A$158,'Data Set 2 - Vehicles'!$E$2:$E$158,"Has No Vehicle",0,-1)=P110,"Has Only One Vehicle",_xlfn.XLOOKUP(A110,'Data Set 2 - Vehicles'!$A$2:$A$158,'Data Set 2 - Vehicles'!$E$2:$E$158,"Has No Vehcile",0,-1))</f>
        <v>Celica</v>
      </c>
      <c r="T110" s="1" t="str">
        <f>_xlfn.LET(_xlpm.mfcname,_xlfn.XLOOKUP(A110,'Data Set 2 - Vehicles'!$A$2:$A$158,'Data Set 2 - Vehicles'!$D$2:$D$158,"NF",0,-1),_xlpm.mdlname,_xlfn.XLOOKUP(A110,'Data Set 2 - Vehicles'!$A$2:$A$158,'Data Set 2 - Vehicles'!$E$2:$E$158,"NF",0,-1),_xlpm.vehcilename,_xlfn.CONCAT(_xlpm.mfcname," ",_xlpm.mdlname),IF(S110="Has No Vehicle","Has No Vehicle",IF(S110="Has Only One Vehicle","Has Only One Vehicle",IF(_xlpm.vehcilename="NF NF","Not Found",_xlpm.vehcilename))))</f>
        <v>Toyota Celica</v>
      </c>
      <c r="U110" s="24">
        <f>_xlfn.LET(_xlpm.vserdate,_xlfn.XLOOKUP(A110,'Data Set 2 - Vehicles'!$A$2:$A$158,'Data Set 2 - Vehicles'!$O$2:$O$158,"NF",0,-1), IF(OR('Data Set 1'!S110="Has No Vehicle",'Data Set 1'!S110="Has Only One Vehicle"),'Data Set 1'!S110,_xlpm.vserdate))</f>
        <v>42002</v>
      </c>
      <c r="V110" s="1">
        <f>SUMIF('Data Set 2 - Vehicles'!$A$2:$A$158,'Data Set 1'!A110,'Data Set 2 - Vehicles'!$Q$2:$Q$158)</f>
        <v>507364</v>
      </c>
      <c r="W110" s="5">
        <f>_xlfn.LET(_xlpm.maxdate,_xlfn.MAXIFS('Data Set 2 - Vehicles'!$O$2:$O$158,'Data Set 2 - Vehicles'!$A$2:$A$158,'Data Set 1'!A110),IF(_xlpm.maxdate=0,"",_xlpm.maxdate))</f>
        <v>42002</v>
      </c>
      <c r="X110" s="1" t="str">
        <f t="shared" ca="1" si="7"/>
        <v>InActive</v>
      </c>
      <c r="Y11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11" spans="1:25" ht="12.75" x14ac:dyDescent="0.35">
      <c r="A111" s="15">
        <v>1190</v>
      </c>
      <c r="B111" s="1"/>
      <c r="C111" s="1"/>
      <c r="D111" s="7" t="s">
        <v>928</v>
      </c>
      <c r="E111" s="1" t="s">
        <v>929</v>
      </c>
      <c r="F111" s="1" t="s">
        <v>930</v>
      </c>
      <c r="G111" s="11" t="s">
        <v>435</v>
      </c>
      <c r="H111" s="11">
        <v>94583</v>
      </c>
      <c r="I111" s="1" t="str">
        <f t="shared" si="4"/>
        <v xml:space="preserve"> </v>
      </c>
      <c r="J111" s="1" t="str">
        <f t="shared" si="5"/>
        <v>Payne Blades &amp; Wellborn Pa</v>
      </c>
      <c r="K111" s="1" t="str">
        <f t="shared" si="6"/>
        <v>98</v>
      </c>
      <c r="L111" s="1" t="str">
        <f>VLOOKUP(A111,'Data Set 3 - Contacts'!$A$2:$F$136,5,FALSE)</f>
        <v>9256155185</v>
      </c>
      <c r="M111" s="1" t="str">
        <f>VLOOKUP(A111,'Data Set 3 - Contacts'!$A$2:$F$136,6,FALSE)</f>
        <v>9259433449</v>
      </c>
      <c r="N111" s="1" t="str">
        <f>VLOOKUP(A111,'Data Set 3 - Contacts'!$A$2:$F$136,4,FALSE)</f>
        <v>gmontezuma@cox.net</v>
      </c>
      <c r="O111" s="1">
        <f>_xlfn.XLOOKUP(A111,'Data Set 2 - Vehicles'!$A$2:$A$158,'Data Set 2 - Vehicles'!$B$2:$B$158,0,0,-1)</f>
        <v>1</v>
      </c>
      <c r="P111" s="1" t="str">
        <f>_xlfn.XLOOKUP(A111,'Data Set 2 - Vehicles'!$A$2:$A$158,'Data Set 2 - Vehicles'!$E$2:$E$158,"Not Found",0,1)</f>
        <v>RX300</v>
      </c>
      <c r="Q111" s="1" t="str">
        <f>IF(_xlfn.CONCAT(_xlfn.XLOOKUP(A111,'Data Set 2 - Vehicles'!$A$2:$A$158,'Data Set 2 - Vehicles'!$D$2:$D$158,"Not Found",0,1)," ",_xlfn.XLOOKUP(A111,'Data Set 2 - Vehicles'!$A$2:$A$158,'Data Set 2 - Vehicles'!$E$2:$E$158,"Not Found",0,1))="Not Found Not Found", "Not Found",_xlfn.CONCAT(_xlfn.XLOOKUP(A111,'Data Set 2 - Vehicles'!$A$2:$A$158,'Data Set 2 - Vehicles'!$D$2:$D$158,"Not Found",0,1)," ",_xlfn.XLOOKUP(A111,'Data Set 2 - Vehicles'!$A$2:$A$158,'Data Set 2 - Vehicles'!$E$2:$E$158,"Not Found",0,1)))</f>
        <v>Lexus RX300</v>
      </c>
      <c r="R111" s="5">
        <f>_xlfn.XLOOKUP(A111,'Data Set 2 - Vehicles'!$A$2:$A$158,'Data Set 2 - Vehicles'!$O$2:$O$158,"",0,1)</f>
        <v>44200</v>
      </c>
      <c r="S111" s="1" t="str">
        <f>IF(_xlfn.XLOOKUP(A111,'Data Set 2 - Vehicles'!$A$2:$A$158,'Data Set 2 - Vehicles'!$E$2:$E$158,"Has No Vehicle",0,-1)=P111,"Has Only One Vehicle",_xlfn.XLOOKUP(A111,'Data Set 2 - Vehicles'!$A$2:$A$158,'Data Set 2 - Vehicles'!$E$2:$E$158,"Has No Vehcile",0,-1))</f>
        <v>Has Only One Vehicle</v>
      </c>
      <c r="T111" s="1" t="str">
        <f>_xlfn.LET(_xlpm.mfcname,_xlfn.XLOOKUP(A111,'Data Set 2 - Vehicles'!$A$2:$A$158,'Data Set 2 - Vehicles'!$D$2:$D$158,"NF",0,-1),_xlpm.mdlname,_xlfn.XLOOKUP(A111,'Data Set 2 - Vehicles'!$A$2:$A$158,'Data Set 2 - Vehicles'!$E$2:$E$158,"NF",0,-1),_xlpm.vehcilename,_xlfn.CONCAT(_xlpm.mfcname," ",_xlpm.mdlname),IF(S111="Has No Vehicle","Has No Vehicle",IF(S111="Has Only One Vehicle","Has Only One Vehicle",IF(_xlpm.vehcilename="NF NF","Not Found",_xlpm.vehcilename))))</f>
        <v>Has Only One Vehicle</v>
      </c>
      <c r="U111" s="24" t="str">
        <f>_xlfn.LET(_xlpm.vserdate,_xlfn.XLOOKUP(A111,'Data Set 2 - Vehicles'!$A$2:$A$158,'Data Set 2 - Vehicles'!$O$2:$O$158,"NF",0,-1), IF(OR('Data Set 1'!S111="Has No Vehicle",'Data Set 1'!S111="Has Only One Vehicle"),'Data Set 1'!S111,_xlpm.vserdate))</f>
        <v>Has Only One Vehicle</v>
      </c>
      <c r="V111" s="1">
        <f>SUMIF('Data Set 2 - Vehicles'!$A$2:$A$158,'Data Set 1'!A111,'Data Set 2 - Vehicles'!$Q$2:$Q$158)</f>
        <v>123590</v>
      </c>
      <c r="W111" s="5">
        <f>_xlfn.LET(_xlpm.maxdate,_xlfn.MAXIFS('Data Set 2 - Vehicles'!$O$2:$O$158,'Data Set 2 - Vehicles'!$A$2:$A$158,'Data Set 1'!A111),IF(_xlpm.maxdate=0,"",_xlpm.maxdate))</f>
        <v>44200</v>
      </c>
      <c r="X111" s="1" t="str">
        <f t="shared" ca="1" si="7"/>
        <v>InActive</v>
      </c>
      <c r="Y11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12" spans="1:25" ht="12.75" x14ac:dyDescent="0.35">
      <c r="A112" s="15">
        <v>1296</v>
      </c>
      <c r="B112" s="1"/>
      <c r="C112" s="1"/>
      <c r="D112" s="7" t="s">
        <v>932</v>
      </c>
      <c r="E112" s="1" t="s">
        <v>933</v>
      </c>
      <c r="F112" s="1" t="s">
        <v>934</v>
      </c>
      <c r="G112" s="11" t="s">
        <v>935</v>
      </c>
      <c r="H112" s="11">
        <v>49120</v>
      </c>
      <c r="I112" s="1" t="str">
        <f t="shared" si="4"/>
        <v xml:space="preserve"> </v>
      </c>
      <c r="J112" s="1" t="str">
        <f t="shared" si="5"/>
        <v>Plantation Restaurant</v>
      </c>
      <c r="K112" s="1" t="str">
        <f t="shared" si="6"/>
        <v>8977</v>
      </c>
      <c r="L112" s="1" t="str">
        <f>VLOOKUP(A112,'Data Set 3 - Contacts'!$A$2:$F$136,5,FALSE)</f>
        <v>2697567222</v>
      </c>
      <c r="M112" s="1" t="str">
        <f>VLOOKUP(A112,'Data Set 3 - Contacts'!$A$2:$F$136,6,FALSE)</f>
        <v>2694319464</v>
      </c>
      <c r="N112" s="1" t="str">
        <f>VLOOKUP(A112,'Data Set 3 - Contacts'!$A$2:$F$136,4,FALSE)</f>
        <v>jaquas@aquas.com</v>
      </c>
      <c r="O112" s="1">
        <f>_xlfn.XLOOKUP(A112,'Data Set 2 - Vehicles'!$A$2:$A$158,'Data Set 2 - Vehicles'!$B$2:$B$158,0,0,-1)</f>
        <v>1</v>
      </c>
      <c r="P112" s="1" t="str">
        <f>_xlfn.XLOOKUP(A112,'Data Set 2 - Vehicles'!$A$2:$A$158,'Data Set 2 - Vehicles'!$E$2:$E$158,"Not Found",0,1)</f>
        <v>Ram Wagon</v>
      </c>
      <c r="Q112" s="1" t="str">
        <f>IF(_xlfn.CONCAT(_xlfn.XLOOKUP(A112,'Data Set 2 - Vehicles'!$A$2:$A$158,'Data Set 2 - Vehicles'!$D$2:$D$158,"Not Found",0,1)," ",_xlfn.XLOOKUP(A112,'Data Set 2 - Vehicles'!$A$2:$A$158,'Data Set 2 - Vehicles'!$E$2:$E$158,"Not Found",0,1))="Not Found Not Found", "Not Found",_xlfn.CONCAT(_xlfn.XLOOKUP(A112,'Data Set 2 - Vehicles'!$A$2:$A$158,'Data Set 2 - Vehicles'!$D$2:$D$158,"Not Found",0,1)," ",_xlfn.XLOOKUP(A112,'Data Set 2 - Vehicles'!$A$2:$A$158,'Data Set 2 - Vehicles'!$E$2:$E$158,"Not Found",0,1)))</f>
        <v>Dodge Ram Wagon</v>
      </c>
      <c r="R112" s="5">
        <f>_xlfn.XLOOKUP(A112,'Data Set 2 - Vehicles'!$A$2:$A$158,'Data Set 2 - Vehicles'!$O$2:$O$158,"",0,1)</f>
        <v>42375</v>
      </c>
      <c r="S112" s="1" t="str">
        <f>IF(_xlfn.XLOOKUP(A112,'Data Set 2 - Vehicles'!$A$2:$A$158,'Data Set 2 - Vehicles'!$E$2:$E$158,"Has No Vehicle",0,-1)=P112,"Has Only One Vehicle",_xlfn.XLOOKUP(A112,'Data Set 2 - Vehicles'!$A$2:$A$158,'Data Set 2 - Vehicles'!$E$2:$E$158,"Has No Vehcile",0,-1))</f>
        <v>Has Only One Vehicle</v>
      </c>
      <c r="T112" s="1" t="str">
        <f>_xlfn.LET(_xlpm.mfcname,_xlfn.XLOOKUP(A112,'Data Set 2 - Vehicles'!$A$2:$A$158,'Data Set 2 - Vehicles'!$D$2:$D$158,"NF",0,-1),_xlpm.mdlname,_xlfn.XLOOKUP(A112,'Data Set 2 - Vehicles'!$A$2:$A$158,'Data Set 2 - Vehicles'!$E$2:$E$158,"NF",0,-1),_xlpm.vehcilename,_xlfn.CONCAT(_xlpm.mfcname," ",_xlpm.mdlname),IF(S112="Has No Vehicle","Has No Vehicle",IF(S112="Has Only One Vehicle","Has Only One Vehicle",IF(_xlpm.vehcilename="NF NF","Not Found",_xlpm.vehcilename))))</f>
        <v>Has Only One Vehicle</v>
      </c>
      <c r="U112" s="24" t="str">
        <f>_xlfn.LET(_xlpm.vserdate,_xlfn.XLOOKUP(A112,'Data Set 2 - Vehicles'!$A$2:$A$158,'Data Set 2 - Vehicles'!$O$2:$O$158,"NF",0,-1), IF(OR('Data Set 1'!S112="Has No Vehicle",'Data Set 1'!S112="Has Only One Vehicle"),'Data Set 1'!S112,_xlpm.vserdate))</f>
        <v>Has Only One Vehicle</v>
      </c>
      <c r="V112" s="1">
        <f>SUMIF('Data Set 2 - Vehicles'!$A$2:$A$158,'Data Set 1'!A112,'Data Set 2 - Vehicles'!$Q$2:$Q$158)</f>
        <v>94409</v>
      </c>
      <c r="W112" s="5">
        <f>_xlfn.LET(_xlpm.maxdate,_xlfn.MAXIFS('Data Set 2 - Vehicles'!$O$2:$O$158,'Data Set 2 - Vehicles'!$A$2:$A$158,'Data Set 1'!A112),IF(_xlpm.maxdate=0,"",_xlpm.maxdate))</f>
        <v>42375</v>
      </c>
      <c r="X112" s="1" t="str">
        <f t="shared" ca="1" si="7"/>
        <v>InActive</v>
      </c>
      <c r="Y11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113" spans="1:25" ht="12.75" x14ac:dyDescent="0.35">
      <c r="A113" s="15">
        <v>1439</v>
      </c>
      <c r="B113" s="1" t="s">
        <v>905</v>
      </c>
      <c r="C113" s="1" t="s">
        <v>906</v>
      </c>
      <c r="D113" s="7" t="s">
        <v>937</v>
      </c>
      <c r="E113" s="1" t="s">
        <v>938</v>
      </c>
      <c r="F113" s="1" t="s">
        <v>575</v>
      </c>
      <c r="G113" s="11" t="s">
        <v>939</v>
      </c>
      <c r="H113" s="11">
        <v>41005</v>
      </c>
      <c r="I113" s="1" t="str">
        <f t="shared" si="4"/>
        <v>Josphine Villanueva</v>
      </c>
      <c r="J113" s="1" t="str">
        <f t="shared" si="5"/>
        <v>Josphine Villanueva</v>
      </c>
      <c r="K113" s="1" t="str">
        <f t="shared" si="6"/>
        <v>9</v>
      </c>
      <c r="L113" s="1" t="str">
        <f>VLOOKUP(A113,'Data Set 3 - Contacts'!$A$2:$F$136,5,FALSE)</f>
        <v>8597177638</v>
      </c>
      <c r="M113" s="1" t="str">
        <f>VLOOKUP(A113,'Data Set 3 - Contacts'!$A$2:$F$136,6,FALSE)</f>
        <v>8593084286</v>
      </c>
      <c r="N113" s="1" t="str">
        <f>VLOOKUP(A113,'Data Set 3 - Contacts'!$A$2:$F$136,4,FALSE)</f>
        <v>stephane_myricks@cox.net</v>
      </c>
      <c r="O113" s="1">
        <f>_xlfn.XLOOKUP(A113,'Data Set 2 - Vehicles'!$A$2:$A$158,'Data Set 2 - Vehicles'!$B$2:$B$158,0,0,-1)</f>
        <v>0</v>
      </c>
      <c r="P113" s="1" t="str">
        <f>_xlfn.XLOOKUP(A113,'Data Set 2 - Vehicles'!$A$2:$A$158,'Data Set 2 - Vehicles'!$E$2:$E$158,"Not Found",0,1)</f>
        <v>Not Found</v>
      </c>
      <c r="Q113" s="1" t="str">
        <f>IF(_xlfn.CONCAT(_xlfn.XLOOKUP(A113,'Data Set 2 - Vehicles'!$A$2:$A$158,'Data Set 2 - Vehicles'!$D$2:$D$158,"Not Found",0,1)," ",_xlfn.XLOOKUP(A113,'Data Set 2 - Vehicles'!$A$2:$A$158,'Data Set 2 - Vehicles'!$E$2:$E$158,"Not Found",0,1))="Not Found Not Found", "Not Found",_xlfn.CONCAT(_xlfn.XLOOKUP(A113,'Data Set 2 - Vehicles'!$A$2:$A$158,'Data Set 2 - Vehicles'!$D$2:$D$158,"Not Found",0,1)," ",_xlfn.XLOOKUP(A113,'Data Set 2 - Vehicles'!$A$2:$A$158,'Data Set 2 - Vehicles'!$E$2:$E$158,"Not Found",0,1)))</f>
        <v>Not Found</v>
      </c>
      <c r="R113" s="5" t="str">
        <f>_xlfn.XLOOKUP(A113,'Data Set 2 - Vehicles'!$A$2:$A$158,'Data Set 2 - Vehicles'!$O$2:$O$158,"",0,1)</f>
        <v/>
      </c>
      <c r="S113" s="1" t="str">
        <f>IF(_xlfn.XLOOKUP(A113,'Data Set 2 - Vehicles'!$A$2:$A$158,'Data Set 2 - Vehicles'!$E$2:$E$158,"Has No Vehicle",0,-1)=P113,"Has Only One Vehicle",_xlfn.XLOOKUP(A113,'Data Set 2 - Vehicles'!$A$2:$A$158,'Data Set 2 - Vehicles'!$E$2:$E$158,"Has No Vehcile",0,-1))</f>
        <v>Has No Vehcile</v>
      </c>
      <c r="T113" s="1" t="str">
        <f>_xlfn.LET(_xlpm.mfcname,_xlfn.XLOOKUP(A113,'Data Set 2 - Vehicles'!$A$2:$A$158,'Data Set 2 - Vehicles'!$D$2:$D$158,"NF",0,-1),_xlpm.mdlname,_xlfn.XLOOKUP(A113,'Data Set 2 - Vehicles'!$A$2:$A$158,'Data Set 2 - Vehicles'!$E$2:$E$158,"NF",0,-1),_xlpm.vehcilename,_xlfn.CONCAT(_xlpm.mfcname," ",_xlpm.mdlname),IF(S113="Has No Vehicle","Has No Vehicle",IF(S113="Has Only One Vehicle","Has Only One Vehicle",IF(_xlpm.vehcilename="NF NF","Not Found",_xlpm.vehcilename))))</f>
        <v>Not Found</v>
      </c>
      <c r="U113" s="24" t="str">
        <f>_xlfn.LET(_xlpm.vserdate,_xlfn.XLOOKUP(A113,'Data Set 2 - Vehicles'!$A$2:$A$158,'Data Set 2 - Vehicles'!$O$2:$O$158,"NF",0,-1), IF(OR('Data Set 1'!S113="Has No Vehicle",'Data Set 1'!S113="Has Only One Vehicle"),'Data Set 1'!S113,_xlpm.vserdate))</f>
        <v>NF</v>
      </c>
      <c r="V113" s="1">
        <f>SUMIF('Data Set 2 - Vehicles'!$A$2:$A$158,'Data Set 1'!A113,'Data Set 2 - Vehicles'!$Q$2:$Q$158)</f>
        <v>0</v>
      </c>
      <c r="W113" s="5" t="str">
        <f>_xlfn.LET(_xlpm.maxdate,_xlfn.MAXIFS('Data Set 2 - Vehicles'!$O$2:$O$158,'Data Set 2 - Vehicles'!$A$2:$A$158,'Data Set 1'!A113),IF(_xlpm.maxdate=0,"",_xlpm.maxdate))</f>
        <v/>
      </c>
      <c r="X113" s="1" t="str">
        <f t="shared" ca="1" si="7"/>
        <v>No Service Record</v>
      </c>
      <c r="Y11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114" spans="1:25" ht="12.75" x14ac:dyDescent="0.35">
      <c r="A114" s="15">
        <v>1101</v>
      </c>
      <c r="B114" s="1"/>
      <c r="C114" s="1"/>
      <c r="D114" s="7" t="s">
        <v>941</v>
      </c>
      <c r="E114" s="1" t="s">
        <v>942</v>
      </c>
      <c r="F114" s="1" t="s">
        <v>943</v>
      </c>
      <c r="G114" s="11" t="s">
        <v>448</v>
      </c>
      <c r="H114" s="11">
        <v>80303</v>
      </c>
      <c r="I114" s="1" t="str">
        <f t="shared" si="4"/>
        <v xml:space="preserve"> </v>
      </c>
      <c r="J114" s="1" t="str">
        <f t="shared" si="5"/>
        <v>Porto Cayo At Hawks Cay</v>
      </c>
      <c r="K114" s="1" t="str">
        <f t="shared" si="6"/>
        <v>4</v>
      </c>
      <c r="L114" s="1" t="str">
        <f>VLOOKUP(A114,'Data Set 3 - Contacts'!$A$2:$F$136,5,FALSE)</f>
        <v>3033014946</v>
      </c>
      <c r="M114" s="1" t="str">
        <f>VLOOKUP(A114,'Data Set 3 - Contacts'!$A$2:$F$136,6,FALSE)</f>
        <v>3035219860</v>
      </c>
      <c r="N114" s="1" t="str">
        <f>VLOOKUP(A114,'Data Set 3 - Contacts'!$A$2:$F$136,4,FALSE)</f>
        <v>alease@buemi.com</v>
      </c>
      <c r="O114" s="1">
        <f>_xlfn.XLOOKUP(A114,'Data Set 2 - Vehicles'!$A$2:$A$158,'Data Set 2 - Vehicles'!$B$2:$B$158,0,0,-1)</f>
        <v>0</v>
      </c>
      <c r="P114" s="1" t="str">
        <f>_xlfn.XLOOKUP(A114,'Data Set 2 - Vehicles'!$A$2:$A$158,'Data Set 2 - Vehicles'!$E$2:$E$158,"Not Found",0,1)</f>
        <v>Not Found</v>
      </c>
      <c r="Q114" s="1" t="str">
        <f>IF(_xlfn.CONCAT(_xlfn.XLOOKUP(A114,'Data Set 2 - Vehicles'!$A$2:$A$158,'Data Set 2 - Vehicles'!$D$2:$D$158,"Not Found",0,1)," ",_xlfn.XLOOKUP(A114,'Data Set 2 - Vehicles'!$A$2:$A$158,'Data Set 2 - Vehicles'!$E$2:$E$158,"Not Found",0,1))="Not Found Not Found", "Not Found",_xlfn.CONCAT(_xlfn.XLOOKUP(A114,'Data Set 2 - Vehicles'!$A$2:$A$158,'Data Set 2 - Vehicles'!$D$2:$D$158,"Not Found",0,1)," ",_xlfn.XLOOKUP(A114,'Data Set 2 - Vehicles'!$A$2:$A$158,'Data Set 2 - Vehicles'!$E$2:$E$158,"Not Found",0,1)))</f>
        <v>Not Found</v>
      </c>
      <c r="R114" s="5" t="str">
        <f>_xlfn.XLOOKUP(A114,'Data Set 2 - Vehicles'!$A$2:$A$158,'Data Set 2 - Vehicles'!$O$2:$O$158,"",0,1)</f>
        <v/>
      </c>
      <c r="S114" s="1" t="str">
        <f>IF(_xlfn.XLOOKUP(A114,'Data Set 2 - Vehicles'!$A$2:$A$158,'Data Set 2 - Vehicles'!$E$2:$E$158,"Has No Vehicle",0,-1)=P114,"Has Only One Vehicle",_xlfn.XLOOKUP(A114,'Data Set 2 - Vehicles'!$A$2:$A$158,'Data Set 2 - Vehicles'!$E$2:$E$158,"Has No Vehcile",0,-1))</f>
        <v>Has No Vehcile</v>
      </c>
      <c r="T114" s="1" t="str">
        <f>_xlfn.LET(_xlpm.mfcname,_xlfn.XLOOKUP(A114,'Data Set 2 - Vehicles'!$A$2:$A$158,'Data Set 2 - Vehicles'!$D$2:$D$158,"NF",0,-1),_xlpm.mdlname,_xlfn.XLOOKUP(A114,'Data Set 2 - Vehicles'!$A$2:$A$158,'Data Set 2 - Vehicles'!$E$2:$E$158,"NF",0,-1),_xlpm.vehcilename,_xlfn.CONCAT(_xlpm.mfcname," ",_xlpm.mdlname),IF(S114="Has No Vehicle","Has No Vehicle",IF(S114="Has Only One Vehicle","Has Only One Vehicle",IF(_xlpm.vehcilename="NF NF","Not Found",_xlpm.vehcilename))))</f>
        <v>Not Found</v>
      </c>
      <c r="U114" s="24" t="str">
        <f>_xlfn.LET(_xlpm.vserdate,_xlfn.XLOOKUP(A114,'Data Set 2 - Vehicles'!$A$2:$A$158,'Data Set 2 - Vehicles'!$O$2:$O$158,"NF",0,-1), IF(OR('Data Set 1'!S114="Has No Vehicle",'Data Set 1'!S114="Has Only One Vehicle"),'Data Set 1'!S114,_xlpm.vserdate))</f>
        <v>NF</v>
      </c>
      <c r="V114" s="1">
        <f>SUMIF('Data Set 2 - Vehicles'!$A$2:$A$158,'Data Set 1'!A114,'Data Set 2 - Vehicles'!$Q$2:$Q$158)</f>
        <v>0</v>
      </c>
      <c r="W114" s="5" t="str">
        <f>_xlfn.LET(_xlpm.maxdate,_xlfn.MAXIFS('Data Set 2 - Vehicles'!$O$2:$O$158,'Data Set 2 - Vehicles'!$A$2:$A$158,'Data Set 1'!A114),IF(_xlpm.maxdate=0,"",_xlpm.maxdate))</f>
        <v/>
      </c>
      <c r="X114" s="1" t="str">
        <f t="shared" ca="1" si="7"/>
        <v>No Service Record</v>
      </c>
      <c r="Y11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115" spans="1:25" ht="12.75" x14ac:dyDescent="0.35">
      <c r="A115" s="17">
        <v>1263</v>
      </c>
      <c r="B115" s="1"/>
      <c r="C115" s="1"/>
      <c r="D115" s="7" t="s">
        <v>944</v>
      </c>
      <c r="E115" s="1" t="s">
        <v>945</v>
      </c>
      <c r="F115" s="1" t="s">
        <v>946</v>
      </c>
      <c r="G115" s="11" t="s">
        <v>392</v>
      </c>
      <c r="H115" s="11">
        <v>60067</v>
      </c>
      <c r="I115" s="1" t="str">
        <f t="shared" si="4"/>
        <v xml:space="preserve"> </v>
      </c>
      <c r="J115" s="1" t="str">
        <f t="shared" si="5"/>
        <v>Price Business Services</v>
      </c>
      <c r="K115" s="1" t="str">
        <f t="shared" si="6"/>
        <v>7</v>
      </c>
      <c r="L115" s="1" t="str">
        <f>VLOOKUP(A115,'Data Set 3 - Contacts'!$A$2:$F$136,5,FALSE)</f>
        <v>8472221734</v>
      </c>
      <c r="M115" s="1" t="str">
        <f>VLOOKUP(A115,'Data Set 3 - Contacts'!$A$2:$F$136,6,FALSE)</f>
        <v/>
      </c>
      <c r="N115" s="1" t="str">
        <f>VLOOKUP(A115,'Data Set 3 - Contacts'!$A$2:$F$136,4,FALSE)</f>
        <v>geoffrey@gmail.com</v>
      </c>
      <c r="O115" s="1">
        <f>_xlfn.XLOOKUP(A115,'Data Set 2 - Vehicles'!$A$2:$A$158,'Data Set 2 - Vehicles'!$B$2:$B$158,0,0,-1)</f>
        <v>1</v>
      </c>
      <c r="P115" s="1" t="str">
        <f>_xlfn.XLOOKUP(A115,'Data Set 2 - Vehicles'!$A$2:$A$158,'Data Set 2 - Vehicles'!$E$2:$E$158,"Not Found",0,1)</f>
        <v>Galant</v>
      </c>
      <c r="Q115" s="1" t="str">
        <f>IF(_xlfn.CONCAT(_xlfn.XLOOKUP(A115,'Data Set 2 - Vehicles'!$A$2:$A$158,'Data Set 2 - Vehicles'!$D$2:$D$158,"Not Found",0,1)," ",_xlfn.XLOOKUP(A115,'Data Set 2 - Vehicles'!$A$2:$A$158,'Data Set 2 - Vehicles'!$E$2:$E$158,"Not Found",0,1))="Not Found Not Found", "Not Found",_xlfn.CONCAT(_xlfn.XLOOKUP(A115,'Data Set 2 - Vehicles'!$A$2:$A$158,'Data Set 2 - Vehicles'!$D$2:$D$158,"Not Found",0,1)," ",_xlfn.XLOOKUP(A115,'Data Set 2 - Vehicles'!$A$2:$A$158,'Data Set 2 - Vehicles'!$E$2:$E$158,"Not Found",0,1)))</f>
        <v>Mitsubishi Galant</v>
      </c>
      <c r="R115" s="5">
        <f>_xlfn.XLOOKUP(A115,'Data Set 2 - Vehicles'!$A$2:$A$158,'Data Set 2 - Vehicles'!$O$2:$O$158,"",0,1)</f>
        <v>45686</v>
      </c>
      <c r="S115" s="1" t="str">
        <f>IF(_xlfn.XLOOKUP(A115,'Data Set 2 - Vehicles'!$A$2:$A$158,'Data Set 2 - Vehicles'!$E$2:$E$158,"Has No Vehicle",0,-1)=P115,"Has Only One Vehicle",_xlfn.XLOOKUP(A115,'Data Set 2 - Vehicles'!$A$2:$A$158,'Data Set 2 - Vehicles'!$E$2:$E$158,"Has No Vehcile",0,-1))</f>
        <v>Has Only One Vehicle</v>
      </c>
      <c r="T115" s="1" t="str">
        <f>_xlfn.LET(_xlpm.mfcname,_xlfn.XLOOKUP(A115,'Data Set 2 - Vehicles'!$A$2:$A$158,'Data Set 2 - Vehicles'!$D$2:$D$158,"NF",0,-1),_xlpm.mdlname,_xlfn.XLOOKUP(A115,'Data Set 2 - Vehicles'!$A$2:$A$158,'Data Set 2 - Vehicles'!$E$2:$E$158,"NF",0,-1),_xlpm.vehcilename,_xlfn.CONCAT(_xlpm.mfcname," ",_xlpm.mdlname),IF(S115="Has No Vehicle","Has No Vehicle",IF(S115="Has Only One Vehicle","Has Only One Vehicle",IF(_xlpm.vehcilename="NF NF","Not Found",_xlpm.vehcilename))))</f>
        <v>Has Only One Vehicle</v>
      </c>
      <c r="U115" s="24" t="str">
        <f>_xlfn.LET(_xlpm.vserdate,_xlfn.XLOOKUP(A115,'Data Set 2 - Vehicles'!$A$2:$A$158,'Data Set 2 - Vehicles'!$O$2:$O$158,"NF",0,-1), IF(OR('Data Set 1'!S115="Has No Vehicle",'Data Set 1'!S115="Has Only One Vehicle"),'Data Set 1'!S115,_xlpm.vserdate))</f>
        <v>Has Only One Vehicle</v>
      </c>
      <c r="V115" s="1">
        <f>SUMIF('Data Set 2 - Vehicles'!$A$2:$A$158,'Data Set 1'!A115,'Data Set 2 - Vehicles'!$Q$2:$Q$158)</f>
        <v>106633</v>
      </c>
      <c r="W115" s="5">
        <f>_xlfn.LET(_xlpm.maxdate,_xlfn.MAXIFS('Data Set 2 - Vehicles'!$O$2:$O$158,'Data Set 2 - Vehicles'!$A$2:$A$158,'Data Set 1'!A115),IF(_xlpm.maxdate=0,"",_xlpm.maxdate))</f>
        <v>45686</v>
      </c>
      <c r="X115" s="1" t="str">
        <f t="shared" ca="1" si="7"/>
        <v>Active</v>
      </c>
      <c r="Y11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16" spans="1:25" ht="12.75" x14ac:dyDescent="0.35">
      <c r="A116" s="17">
        <v>1414</v>
      </c>
      <c r="B116" s="1"/>
      <c r="C116" s="1"/>
      <c r="D116" s="7" t="s">
        <v>947</v>
      </c>
      <c r="E116" s="1" t="s">
        <v>948</v>
      </c>
      <c r="F116" s="1" t="s">
        <v>674</v>
      </c>
      <c r="G116" s="11" t="s">
        <v>392</v>
      </c>
      <c r="H116" s="11">
        <v>60657</v>
      </c>
      <c r="I116" s="1" t="str">
        <f t="shared" si="4"/>
        <v xml:space="preserve"> </v>
      </c>
      <c r="J116" s="1" t="str">
        <f t="shared" si="5"/>
        <v>Print Doctor</v>
      </c>
      <c r="K116" s="1" t="str">
        <f t="shared" si="6"/>
        <v>72</v>
      </c>
      <c r="L116" s="1" t="str">
        <f>VLOOKUP(A116,'Data Set 3 - Contacts'!$A$2:$F$136,5,FALSE)</f>
        <v>7732259985</v>
      </c>
      <c r="M116" s="1" t="str">
        <f>VLOOKUP(A116,'Data Set 3 - Contacts'!$A$2:$F$136,6,FALSE)</f>
        <v>7738572231</v>
      </c>
      <c r="N116" s="1" t="str">
        <f>VLOOKUP(A116,'Data Set 3 - Contacts'!$A$2:$F$136,4,FALSE)</f>
        <v>nichelle_meteer@meteer.com</v>
      </c>
      <c r="O116" s="1">
        <f>_xlfn.XLOOKUP(A116,'Data Set 2 - Vehicles'!$A$2:$A$158,'Data Set 2 - Vehicles'!$B$2:$B$158,0,0,-1)</f>
        <v>1</v>
      </c>
      <c r="P116" s="1" t="str">
        <f>_xlfn.XLOOKUP(A116,'Data Set 2 - Vehicles'!$A$2:$A$158,'Data Set 2 - Vehicles'!$E$2:$E$158,"Not Found",0,1)</f>
        <v>Cougar</v>
      </c>
      <c r="Q116" s="1" t="str">
        <f>IF(_xlfn.CONCAT(_xlfn.XLOOKUP(A116,'Data Set 2 - Vehicles'!$A$2:$A$158,'Data Set 2 - Vehicles'!$D$2:$D$158,"Not Found",0,1)," ",_xlfn.XLOOKUP(A116,'Data Set 2 - Vehicles'!$A$2:$A$158,'Data Set 2 - Vehicles'!$E$2:$E$158,"Not Found",0,1))="Not Found Not Found", "Not Found",_xlfn.CONCAT(_xlfn.XLOOKUP(A116,'Data Set 2 - Vehicles'!$A$2:$A$158,'Data Set 2 - Vehicles'!$D$2:$D$158,"Not Found",0,1)," ",_xlfn.XLOOKUP(A116,'Data Set 2 - Vehicles'!$A$2:$A$158,'Data Set 2 - Vehicles'!$E$2:$E$158,"Not Found",0,1)))</f>
        <v>Mercury Cougar</v>
      </c>
      <c r="R116" s="5">
        <f>_xlfn.XLOOKUP(A116,'Data Set 2 - Vehicles'!$A$2:$A$158,'Data Set 2 - Vehicles'!$O$2:$O$158,"",0,1)</f>
        <v>42423</v>
      </c>
      <c r="S116" s="1" t="str">
        <f>IF(_xlfn.XLOOKUP(A116,'Data Set 2 - Vehicles'!$A$2:$A$158,'Data Set 2 - Vehicles'!$E$2:$E$158,"Has No Vehicle",0,-1)=P116,"Has Only One Vehicle",_xlfn.XLOOKUP(A116,'Data Set 2 - Vehicles'!$A$2:$A$158,'Data Set 2 - Vehicles'!$E$2:$E$158,"Has No Vehcile",0,-1))</f>
        <v>Has Only One Vehicle</v>
      </c>
      <c r="T116" s="1" t="str">
        <f>_xlfn.LET(_xlpm.mfcname,_xlfn.XLOOKUP(A116,'Data Set 2 - Vehicles'!$A$2:$A$158,'Data Set 2 - Vehicles'!$D$2:$D$158,"NF",0,-1),_xlpm.mdlname,_xlfn.XLOOKUP(A116,'Data Set 2 - Vehicles'!$A$2:$A$158,'Data Set 2 - Vehicles'!$E$2:$E$158,"NF",0,-1),_xlpm.vehcilename,_xlfn.CONCAT(_xlpm.mfcname," ",_xlpm.mdlname),IF(S116="Has No Vehicle","Has No Vehicle",IF(S116="Has Only One Vehicle","Has Only One Vehicle",IF(_xlpm.vehcilename="NF NF","Not Found",_xlpm.vehcilename))))</f>
        <v>Has Only One Vehicle</v>
      </c>
      <c r="U116" s="24" t="str">
        <f>_xlfn.LET(_xlpm.vserdate,_xlfn.XLOOKUP(A116,'Data Set 2 - Vehicles'!$A$2:$A$158,'Data Set 2 - Vehicles'!$O$2:$O$158,"NF",0,-1), IF(OR('Data Set 1'!S116="Has No Vehicle",'Data Set 1'!S116="Has Only One Vehicle"),'Data Set 1'!S116,_xlpm.vserdate))</f>
        <v>Has Only One Vehicle</v>
      </c>
      <c r="V116" s="1">
        <f>SUMIF('Data Set 2 - Vehicles'!$A$2:$A$158,'Data Set 1'!A116,'Data Set 2 - Vehicles'!$Q$2:$Q$158)</f>
        <v>192857</v>
      </c>
      <c r="W116" s="5">
        <f>_xlfn.LET(_xlpm.maxdate,_xlfn.MAXIFS('Data Set 2 - Vehicles'!$O$2:$O$158,'Data Set 2 - Vehicles'!$A$2:$A$158,'Data Set 1'!A116),IF(_xlpm.maxdate=0,"",_xlpm.maxdate))</f>
        <v>42423</v>
      </c>
      <c r="X116" s="1" t="str">
        <f t="shared" ca="1" si="7"/>
        <v>InActive</v>
      </c>
      <c r="Y11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17" spans="1:25" ht="12.75" x14ac:dyDescent="0.35">
      <c r="A117" s="15">
        <v>1005</v>
      </c>
      <c r="B117" s="1" t="s">
        <v>950</v>
      </c>
      <c r="C117" s="1" t="s">
        <v>951</v>
      </c>
      <c r="D117" s="7" t="s">
        <v>952</v>
      </c>
      <c r="E117" s="1" t="s">
        <v>953</v>
      </c>
      <c r="F117" s="1" t="s">
        <v>955</v>
      </c>
      <c r="G117" s="11" t="s">
        <v>582</v>
      </c>
      <c r="H117" s="11">
        <v>45011</v>
      </c>
      <c r="I117" s="1" t="str">
        <f t="shared" si="4"/>
        <v>Donette Foller</v>
      </c>
      <c r="J117" s="1" t="str">
        <f t="shared" si="5"/>
        <v>Donette Foller</v>
      </c>
      <c r="K117" s="1" t="str">
        <f t="shared" si="6"/>
        <v>34</v>
      </c>
      <c r="L117" s="1" t="str">
        <f>VLOOKUP(A117,'Data Set 3 - Contacts'!$A$2:$F$136,5,FALSE)</f>
        <v>5135701893</v>
      </c>
      <c r="M117" s="1" t="str">
        <f>VLOOKUP(A117,'Data Set 3 - Contacts'!$A$2:$F$136,6,FALSE)</f>
        <v>5135494561</v>
      </c>
      <c r="N117" s="1" t="str">
        <f>VLOOKUP(A117,'Data Set 3 - Contacts'!$A$2:$F$136,4,FALSE)</f>
        <v>donette.foller@cox.net</v>
      </c>
      <c r="O117" s="1">
        <f>_xlfn.XLOOKUP(A117,'Data Set 2 - Vehicles'!$A$2:$A$158,'Data Set 2 - Vehicles'!$B$2:$B$158,0,0,-1)</f>
        <v>1</v>
      </c>
      <c r="P117" s="1" t="str">
        <f>_xlfn.XLOOKUP(A117,'Data Set 2 - Vehicles'!$A$2:$A$158,'Data Set 2 - Vehicles'!$E$2:$E$158,"Not Found",0,1)</f>
        <v>CR-V</v>
      </c>
      <c r="Q117" s="1" t="str">
        <f>IF(_xlfn.CONCAT(_xlfn.XLOOKUP(A117,'Data Set 2 - Vehicles'!$A$2:$A$158,'Data Set 2 - Vehicles'!$D$2:$D$158,"Not Found",0,1)," ",_xlfn.XLOOKUP(A117,'Data Set 2 - Vehicles'!$A$2:$A$158,'Data Set 2 - Vehicles'!$E$2:$E$158,"Not Found",0,1))="Not Found Not Found", "Not Found",_xlfn.CONCAT(_xlfn.XLOOKUP(A117,'Data Set 2 - Vehicles'!$A$2:$A$158,'Data Set 2 - Vehicles'!$D$2:$D$158,"Not Found",0,1)," ",_xlfn.XLOOKUP(A117,'Data Set 2 - Vehicles'!$A$2:$A$158,'Data Set 2 - Vehicles'!$E$2:$E$158,"Not Found",0,1)))</f>
        <v>Honda CR-V</v>
      </c>
      <c r="R117" s="5">
        <f>_xlfn.XLOOKUP(A117,'Data Set 2 - Vehicles'!$A$2:$A$158,'Data Set 2 - Vehicles'!$O$2:$O$158,"",0,1)</f>
        <v>41354</v>
      </c>
      <c r="S117" s="1" t="str">
        <f>IF(_xlfn.XLOOKUP(A117,'Data Set 2 - Vehicles'!$A$2:$A$158,'Data Set 2 - Vehicles'!$E$2:$E$158,"Has No Vehicle",0,-1)=P117,"Has Only One Vehicle",_xlfn.XLOOKUP(A117,'Data Set 2 - Vehicles'!$A$2:$A$158,'Data Set 2 - Vehicles'!$E$2:$E$158,"Has No Vehcile",0,-1))</f>
        <v>Has Only One Vehicle</v>
      </c>
      <c r="T117" s="1" t="str">
        <f>_xlfn.LET(_xlpm.mfcname,_xlfn.XLOOKUP(A117,'Data Set 2 - Vehicles'!$A$2:$A$158,'Data Set 2 - Vehicles'!$D$2:$D$158,"NF",0,-1),_xlpm.mdlname,_xlfn.XLOOKUP(A117,'Data Set 2 - Vehicles'!$A$2:$A$158,'Data Set 2 - Vehicles'!$E$2:$E$158,"NF",0,-1),_xlpm.vehcilename,_xlfn.CONCAT(_xlpm.mfcname," ",_xlpm.mdlname),IF(S117="Has No Vehicle","Has No Vehicle",IF(S117="Has Only One Vehicle","Has Only One Vehicle",IF(_xlpm.vehcilename="NF NF","Not Found",_xlpm.vehcilename))))</f>
        <v>Has Only One Vehicle</v>
      </c>
      <c r="U117" s="24" t="str">
        <f>_xlfn.LET(_xlpm.vserdate,_xlfn.XLOOKUP(A117,'Data Set 2 - Vehicles'!$A$2:$A$158,'Data Set 2 - Vehicles'!$O$2:$O$158,"NF",0,-1), IF(OR('Data Set 1'!S117="Has No Vehicle",'Data Set 1'!S117="Has Only One Vehicle"),'Data Set 1'!S117,_xlpm.vserdate))</f>
        <v>Has Only One Vehicle</v>
      </c>
      <c r="V117" s="1">
        <f>SUMIF('Data Set 2 - Vehicles'!$A$2:$A$158,'Data Set 1'!A117,'Data Set 2 - Vehicles'!$Q$2:$Q$158)</f>
        <v>61872</v>
      </c>
      <c r="W117" s="5">
        <f>_xlfn.LET(_xlpm.maxdate,_xlfn.MAXIFS('Data Set 2 - Vehicles'!$O$2:$O$158,'Data Set 2 - Vehicles'!$A$2:$A$158,'Data Set 1'!A117),IF(_xlpm.maxdate=0,"",_xlpm.maxdate))</f>
        <v>41354</v>
      </c>
      <c r="X117" s="1" t="str">
        <f t="shared" ca="1" si="7"/>
        <v>InActive</v>
      </c>
      <c r="Y11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118" spans="1:25" ht="12.75" x14ac:dyDescent="0.35">
      <c r="A118" s="15">
        <v>1394</v>
      </c>
      <c r="B118" s="1"/>
      <c r="C118" s="1"/>
      <c r="D118" s="7" t="s">
        <v>957</v>
      </c>
      <c r="E118" s="1" t="s">
        <v>958</v>
      </c>
      <c r="F118" s="1" t="s">
        <v>779</v>
      </c>
      <c r="G118" s="11" t="s">
        <v>780</v>
      </c>
      <c r="H118" s="11">
        <v>99352</v>
      </c>
      <c r="I118" s="1" t="str">
        <f t="shared" si="4"/>
        <v xml:space="preserve"> </v>
      </c>
      <c r="J118" s="1" t="str">
        <f t="shared" si="5"/>
        <v>Printing Images Corp</v>
      </c>
      <c r="K118" s="1" t="str">
        <f t="shared" si="6"/>
        <v>36</v>
      </c>
      <c r="L118" s="1" t="str">
        <f>VLOOKUP(A118,'Data Set 3 - Contacts'!$A$2:$F$136,5,FALSE)</f>
        <v>5096955199</v>
      </c>
      <c r="M118" s="1" t="str">
        <f>VLOOKUP(A118,'Data Set 3 - Contacts'!$A$2:$F$136,6,FALSE)</f>
        <v>5095956485</v>
      </c>
      <c r="N118" s="1" t="str">
        <f>VLOOKUP(A118,'Data Set 3 - Contacts'!$A$2:$F$136,4,FALSE)</f>
        <v>laurel@yahoo.com</v>
      </c>
      <c r="O118" s="1">
        <f>_xlfn.XLOOKUP(A118,'Data Set 2 - Vehicles'!$A$2:$A$158,'Data Set 2 - Vehicles'!$B$2:$B$158,0,0,-1)</f>
        <v>1</v>
      </c>
      <c r="P118" s="1" t="str">
        <f>_xlfn.XLOOKUP(A118,'Data Set 2 - Vehicles'!$A$2:$A$158,'Data Set 2 - Vehicles'!$E$2:$E$158,"Not Found",0,1)</f>
        <v>300M</v>
      </c>
      <c r="Q118" s="1" t="str">
        <f>IF(_xlfn.CONCAT(_xlfn.XLOOKUP(A118,'Data Set 2 - Vehicles'!$A$2:$A$158,'Data Set 2 - Vehicles'!$D$2:$D$158,"Not Found",0,1)," ",_xlfn.XLOOKUP(A118,'Data Set 2 - Vehicles'!$A$2:$A$158,'Data Set 2 - Vehicles'!$E$2:$E$158,"Not Found",0,1))="Not Found Not Found", "Not Found",_xlfn.CONCAT(_xlfn.XLOOKUP(A118,'Data Set 2 - Vehicles'!$A$2:$A$158,'Data Set 2 - Vehicles'!$D$2:$D$158,"Not Found",0,1)," ",_xlfn.XLOOKUP(A118,'Data Set 2 - Vehicles'!$A$2:$A$158,'Data Set 2 - Vehicles'!$E$2:$E$158,"Not Found",0,1)))</f>
        <v>Chrysler 300M</v>
      </c>
      <c r="R118" s="5">
        <f>_xlfn.XLOOKUP(A118,'Data Set 2 - Vehicles'!$A$2:$A$158,'Data Set 2 - Vehicles'!$O$2:$O$158,"",0,1)</f>
        <v>45698</v>
      </c>
      <c r="S118" s="1" t="str">
        <f>IF(_xlfn.XLOOKUP(A118,'Data Set 2 - Vehicles'!$A$2:$A$158,'Data Set 2 - Vehicles'!$E$2:$E$158,"Has No Vehicle",0,-1)=P118,"Has Only One Vehicle",_xlfn.XLOOKUP(A118,'Data Set 2 - Vehicles'!$A$2:$A$158,'Data Set 2 - Vehicles'!$E$2:$E$158,"Has No Vehcile",0,-1))</f>
        <v>Has Only One Vehicle</v>
      </c>
      <c r="T118" s="1" t="str">
        <f>_xlfn.LET(_xlpm.mfcname,_xlfn.XLOOKUP(A118,'Data Set 2 - Vehicles'!$A$2:$A$158,'Data Set 2 - Vehicles'!$D$2:$D$158,"NF",0,-1),_xlpm.mdlname,_xlfn.XLOOKUP(A118,'Data Set 2 - Vehicles'!$A$2:$A$158,'Data Set 2 - Vehicles'!$E$2:$E$158,"NF",0,-1),_xlpm.vehcilename,_xlfn.CONCAT(_xlpm.mfcname," ",_xlpm.mdlname),IF(S118="Has No Vehicle","Has No Vehicle",IF(S118="Has Only One Vehicle","Has Only One Vehicle",IF(_xlpm.vehcilename="NF NF","Not Found",_xlpm.vehcilename))))</f>
        <v>Has Only One Vehicle</v>
      </c>
      <c r="U118" s="24" t="str">
        <f>_xlfn.LET(_xlpm.vserdate,_xlfn.XLOOKUP(A118,'Data Set 2 - Vehicles'!$A$2:$A$158,'Data Set 2 - Vehicles'!$O$2:$O$158,"NF",0,-1), IF(OR('Data Set 1'!S118="Has No Vehicle",'Data Set 1'!S118="Has Only One Vehicle"),'Data Set 1'!S118,_xlpm.vserdate))</f>
        <v>Has Only One Vehicle</v>
      </c>
      <c r="V118" s="1">
        <f>SUMIF('Data Set 2 - Vehicles'!$A$2:$A$158,'Data Set 1'!A118,'Data Set 2 - Vehicles'!$Q$2:$Q$158)</f>
        <v>216349</v>
      </c>
      <c r="W118" s="5">
        <f>_xlfn.LET(_xlpm.maxdate,_xlfn.MAXIFS('Data Set 2 - Vehicles'!$O$2:$O$158,'Data Set 2 - Vehicles'!$A$2:$A$158,'Data Set 1'!A118),IF(_xlpm.maxdate=0,"",_xlpm.maxdate))</f>
        <v>45698</v>
      </c>
      <c r="X118" s="1" t="str">
        <f t="shared" ca="1" si="7"/>
        <v>Active</v>
      </c>
      <c r="Y11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19" spans="1:25" ht="12.75" x14ac:dyDescent="0.35">
      <c r="A119" s="15">
        <v>1070</v>
      </c>
      <c r="B119" s="1" t="s">
        <v>960</v>
      </c>
      <c r="C119" s="1" t="s">
        <v>961</v>
      </c>
      <c r="D119" s="7" t="s">
        <v>962</v>
      </c>
      <c r="E119" s="1" t="s">
        <v>963</v>
      </c>
      <c r="F119" s="1" t="s">
        <v>770</v>
      </c>
      <c r="G119" s="11" t="s">
        <v>772</v>
      </c>
      <c r="H119" s="11">
        <v>83707</v>
      </c>
      <c r="I119" s="1" t="str">
        <f t="shared" si="4"/>
        <v>Vallie Mondella</v>
      </c>
      <c r="J119" s="1" t="str">
        <f t="shared" si="5"/>
        <v>Vallie Mondella</v>
      </c>
      <c r="K119" s="1" t="str">
        <f t="shared" si="6"/>
        <v>74</v>
      </c>
      <c r="L119" s="1" t="str">
        <f>VLOOKUP(A119,'Data Set 3 - Contacts'!$A$2:$F$136,5,FALSE)</f>
        <v>2088625339</v>
      </c>
      <c r="M119" s="1" t="str">
        <f>VLOOKUP(A119,'Data Set 3 - Contacts'!$A$2:$F$136,6,FALSE)</f>
        <v>2087378439</v>
      </c>
      <c r="N119" s="1" t="str">
        <f>VLOOKUP(A119,'Data Set 3 - Contacts'!$A$2:$F$136,4,FALSE)</f>
        <v>vmondella@mondella.com</v>
      </c>
      <c r="O119" s="1">
        <f>_xlfn.XLOOKUP(A119,'Data Set 2 - Vehicles'!$A$2:$A$158,'Data Set 2 - Vehicles'!$B$2:$B$158,0,0,-1)</f>
        <v>2</v>
      </c>
      <c r="P119" s="1" t="str">
        <f>_xlfn.XLOOKUP(A119,'Data Set 2 - Vehicles'!$A$2:$A$158,'Data Set 2 - Vehicles'!$E$2:$E$158,"Not Found",0,1)</f>
        <v>CL</v>
      </c>
      <c r="Q119" s="1" t="str">
        <f>IF(_xlfn.CONCAT(_xlfn.XLOOKUP(A119,'Data Set 2 - Vehicles'!$A$2:$A$158,'Data Set 2 - Vehicles'!$D$2:$D$158,"Not Found",0,1)," ",_xlfn.XLOOKUP(A119,'Data Set 2 - Vehicles'!$A$2:$A$158,'Data Set 2 - Vehicles'!$E$2:$E$158,"Not Found",0,1))="Not Found Not Found", "Not Found",_xlfn.CONCAT(_xlfn.XLOOKUP(A119,'Data Set 2 - Vehicles'!$A$2:$A$158,'Data Set 2 - Vehicles'!$D$2:$D$158,"Not Found",0,1)," ",_xlfn.XLOOKUP(A119,'Data Set 2 - Vehicles'!$A$2:$A$158,'Data Set 2 - Vehicles'!$E$2:$E$158,"Not Found",0,1)))</f>
        <v>Acura CL</v>
      </c>
      <c r="R119" s="5">
        <f>_xlfn.XLOOKUP(A119,'Data Set 2 - Vehicles'!$A$2:$A$158,'Data Set 2 - Vehicles'!$O$2:$O$158,"",0,1)</f>
        <v>40182</v>
      </c>
      <c r="S119" s="1" t="str">
        <f>IF(_xlfn.XLOOKUP(A119,'Data Set 2 - Vehicles'!$A$2:$A$158,'Data Set 2 - Vehicles'!$E$2:$E$158,"Has No Vehicle",0,-1)=P119,"Has Only One Vehicle",_xlfn.XLOOKUP(A119,'Data Set 2 - Vehicles'!$A$2:$A$158,'Data Set 2 - Vehicles'!$E$2:$E$158,"Has No Vehcile",0,-1))</f>
        <v>Escort</v>
      </c>
      <c r="T119" s="1" t="str">
        <f>_xlfn.LET(_xlpm.mfcname,_xlfn.XLOOKUP(A119,'Data Set 2 - Vehicles'!$A$2:$A$158,'Data Set 2 - Vehicles'!$D$2:$D$158,"NF",0,-1),_xlpm.mdlname,_xlfn.XLOOKUP(A119,'Data Set 2 - Vehicles'!$A$2:$A$158,'Data Set 2 - Vehicles'!$E$2:$E$158,"NF",0,-1),_xlpm.vehcilename,_xlfn.CONCAT(_xlpm.mfcname," ",_xlpm.mdlname),IF(S119="Has No Vehicle","Has No Vehicle",IF(S119="Has Only One Vehicle","Has Only One Vehicle",IF(_xlpm.vehcilename="NF NF","Not Found",_xlpm.vehcilename))))</f>
        <v>Ford Escort</v>
      </c>
      <c r="U119" s="24">
        <f>_xlfn.LET(_xlpm.vserdate,_xlfn.XLOOKUP(A119,'Data Set 2 - Vehicles'!$A$2:$A$158,'Data Set 2 - Vehicles'!$O$2:$O$158,"NF",0,-1), IF(OR('Data Set 1'!S119="Has No Vehicle",'Data Set 1'!S119="Has Only One Vehicle"),'Data Set 1'!S119,_xlpm.vserdate))</f>
        <v>40633</v>
      </c>
      <c r="V119" s="1">
        <f>SUMIF('Data Set 2 - Vehicles'!$A$2:$A$158,'Data Set 1'!A119,'Data Set 2 - Vehicles'!$Q$2:$Q$158)</f>
        <v>353791</v>
      </c>
      <c r="W119" s="5">
        <f>_xlfn.LET(_xlpm.maxdate,_xlfn.MAXIFS('Data Set 2 - Vehicles'!$O$2:$O$158,'Data Set 2 - Vehicles'!$A$2:$A$158,'Data Set 1'!A119),IF(_xlpm.maxdate=0,"",_xlpm.maxdate))</f>
        <v>40633</v>
      </c>
      <c r="X119" s="1" t="str">
        <f t="shared" ca="1" si="7"/>
        <v>InActive</v>
      </c>
      <c r="Y11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20" spans="1:25" ht="12.75" x14ac:dyDescent="0.35">
      <c r="A120" s="15">
        <v>1077</v>
      </c>
      <c r="B120" s="1"/>
      <c r="C120" s="1"/>
      <c r="D120" s="7" t="s">
        <v>965</v>
      </c>
      <c r="E120" s="1" t="s">
        <v>966</v>
      </c>
      <c r="F120" s="1" t="s">
        <v>707</v>
      </c>
      <c r="G120" s="11" t="s">
        <v>495</v>
      </c>
      <c r="H120" s="11">
        <v>21215</v>
      </c>
      <c r="I120" s="1" t="str">
        <f t="shared" si="4"/>
        <v xml:space="preserve"> </v>
      </c>
      <c r="J120" s="1" t="str">
        <f t="shared" si="5"/>
        <v>Q A Service</v>
      </c>
      <c r="K120" s="1" t="str">
        <f t="shared" si="6"/>
        <v>6</v>
      </c>
      <c r="L120" s="1" t="str">
        <f>VLOOKUP(A120,'Data Set 3 - Contacts'!$A$2:$F$136,5,FALSE)</f>
        <v>4105204832</v>
      </c>
      <c r="M120" s="1" t="str">
        <f>VLOOKUP(A120,'Data Set 3 - Contacts'!$A$2:$F$136,6,FALSE)</f>
        <v>4109576903</v>
      </c>
      <c r="N120" s="1" t="str">
        <f>VLOOKUP(A120,'Data Set 3 - Contacts'!$A$2:$F$136,4,FALSE)</f>
        <v>laurel_reitler@reitler.com</v>
      </c>
      <c r="O120" s="1">
        <f>_xlfn.XLOOKUP(A120,'Data Set 2 - Vehicles'!$A$2:$A$158,'Data Set 2 - Vehicles'!$B$2:$B$158,0,0,-1)</f>
        <v>1</v>
      </c>
      <c r="P120" s="1" t="str">
        <f>_xlfn.XLOOKUP(A120,'Data Set 2 - Vehicles'!$A$2:$A$158,'Data Set 2 - Vehicles'!$E$2:$E$158,"Not Found",0,1)</f>
        <v>LHS</v>
      </c>
      <c r="Q120" s="1" t="str">
        <f>IF(_xlfn.CONCAT(_xlfn.XLOOKUP(A120,'Data Set 2 - Vehicles'!$A$2:$A$158,'Data Set 2 - Vehicles'!$D$2:$D$158,"Not Found",0,1)," ",_xlfn.XLOOKUP(A120,'Data Set 2 - Vehicles'!$A$2:$A$158,'Data Set 2 - Vehicles'!$E$2:$E$158,"Not Found",0,1))="Not Found Not Found", "Not Found",_xlfn.CONCAT(_xlfn.XLOOKUP(A120,'Data Set 2 - Vehicles'!$A$2:$A$158,'Data Set 2 - Vehicles'!$D$2:$D$158,"Not Found",0,1)," ",_xlfn.XLOOKUP(A120,'Data Set 2 - Vehicles'!$A$2:$A$158,'Data Set 2 - Vehicles'!$E$2:$E$158,"Not Found",0,1)))</f>
        <v>Chrysler LHS</v>
      </c>
      <c r="R120" s="5">
        <f>_xlfn.XLOOKUP(A120,'Data Set 2 - Vehicles'!$A$2:$A$158,'Data Set 2 - Vehicles'!$O$2:$O$158,"",0,1)</f>
        <v>45420</v>
      </c>
      <c r="S120" s="1" t="str">
        <f>IF(_xlfn.XLOOKUP(A120,'Data Set 2 - Vehicles'!$A$2:$A$158,'Data Set 2 - Vehicles'!$E$2:$E$158,"Has No Vehicle",0,-1)=P120,"Has Only One Vehicle",_xlfn.XLOOKUP(A120,'Data Set 2 - Vehicles'!$A$2:$A$158,'Data Set 2 - Vehicles'!$E$2:$E$158,"Has No Vehcile",0,-1))</f>
        <v>Has Only One Vehicle</v>
      </c>
      <c r="T120" s="1" t="str">
        <f>_xlfn.LET(_xlpm.mfcname,_xlfn.XLOOKUP(A120,'Data Set 2 - Vehicles'!$A$2:$A$158,'Data Set 2 - Vehicles'!$D$2:$D$158,"NF",0,-1),_xlpm.mdlname,_xlfn.XLOOKUP(A120,'Data Set 2 - Vehicles'!$A$2:$A$158,'Data Set 2 - Vehicles'!$E$2:$E$158,"NF",0,-1),_xlpm.vehcilename,_xlfn.CONCAT(_xlpm.mfcname," ",_xlpm.mdlname),IF(S120="Has No Vehicle","Has No Vehicle",IF(S120="Has Only One Vehicle","Has Only One Vehicle",IF(_xlpm.vehcilename="NF NF","Not Found",_xlpm.vehcilename))))</f>
        <v>Has Only One Vehicle</v>
      </c>
      <c r="U120" s="24" t="str">
        <f>_xlfn.LET(_xlpm.vserdate,_xlfn.XLOOKUP(A120,'Data Set 2 - Vehicles'!$A$2:$A$158,'Data Set 2 - Vehicles'!$O$2:$O$158,"NF",0,-1), IF(OR('Data Set 1'!S120="Has No Vehicle",'Data Set 1'!S120="Has Only One Vehicle"),'Data Set 1'!S120,_xlpm.vserdate))</f>
        <v>Has Only One Vehicle</v>
      </c>
      <c r="V120" s="1">
        <f>SUMIF('Data Set 2 - Vehicles'!$A$2:$A$158,'Data Set 1'!A120,'Data Set 2 - Vehicles'!$Q$2:$Q$158)</f>
        <v>288348</v>
      </c>
      <c r="W120" s="5">
        <f>_xlfn.LET(_xlpm.maxdate,_xlfn.MAXIFS('Data Set 2 - Vehicles'!$O$2:$O$158,'Data Set 2 - Vehicles'!$A$2:$A$158,'Data Set 1'!A120),IF(_xlpm.maxdate=0,"",_xlpm.maxdate))</f>
        <v>45420</v>
      </c>
      <c r="X120" s="1" t="str">
        <f t="shared" ca="1" si="7"/>
        <v>Active</v>
      </c>
      <c r="Y12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21" spans="1:25" ht="12.75" x14ac:dyDescent="0.35">
      <c r="A121" s="15">
        <v>1435</v>
      </c>
      <c r="B121" s="1"/>
      <c r="C121" s="1"/>
      <c r="D121" s="7" t="s">
        <v>967</v>
      </c>
      <c r="E121" s="1" t="s">
        <v>969</v>
      </c>
      <c r="F121" s="1" t="s">
        <v>970</v>
      </c>
      <c r="G121" s="11" t="s">
        <v>524</v>
      </c>
      <c r="H121" s="11">
        <v>17110</v>
      </c>
      <c r="I121" s="1" t="str">
        <f t="shared" si="4"/>
        <v xml:space="preserve"> </v>
      </c>
      <c r="J121" s="1" t="str">
        <f t="shared" si="5"/>
        <v>Reese Plastics</v>
      </c>
      <c r="K121" s="1" t="str">
        <f t="shared" si="6"/>
        <v>2</v>
      </c>
      <c r="L121" s="1" t="str">
        <f>VLOOKUP(A121,'Data Set 3 - Contacts'!$A$2:$F$136,5,FALSE)</f>
        <v>7175288996</v>
      </c>
      <c r="M121" s="1" t="str">
        <f>VLOOKUP(A121,'Data Set 3 - Contacts'!$A$2:$F$136,6,FALSE)</f>
        <v/>
      </c>
      <c r="N121" s="1" t="str">
        <f>VLOOKUP(A121,'Data Set 3 - Contacts'!$A$2:$F$136,4,FALSE)</f>
        <v>ahmed.angalich@angalich.com</v>
      </c>
      <c r="O121" s="1">
        <f>_xlfn.XLOOKUP(A121,'Data Set 2 - Vehicles'!$A$2:$A$158,'Data Set 2 - Vehicles'!$B$2:$B$158,0,0,-1)</f>
        <v>2</v>
      </c>
      <c r="P121" s="1" t="str">
        <f>_xlfn.XLOOKUP(A121,'Data Set 2 - Vehicles'!$A$2:$A$158,'Data Set 2 - Vehicles'!$E$2:$E$158,"Not Found",0,1)</f>
        <v>Corolla</v>
      </c>
      <c r="Q121" s="1" t="str">
        <f>IF(_xlfn.CONCAT(_xlfn.XLOOKUP(A121,'Data Set 2 - Vehicles'!$A$2:$A$158,'Data Set 2 - Vehicles'!$D$2:$D$158,"Not Found",0,1)," ",_xlfn.XLOOKUP(A121,'Data Set 2 - Vehicles'!$A$2:$A$158,'Data Set 2 - Vehicles'!$E$2:$E$158,"Not Found",0,1))="Not Found Not Found", "Not Found",_xlfn.CONCAT(_xlfn.XLOOKUP(A121,'Data Set 2 - Vehicles'!$A$2:$A$158,'Data Set 2 - Vehicles'!$D$2:$D$158,"Not Found",0,1)," ",_xlfn.XLOOKUP(A121,'Data Set 2 - Vehicles'!$A$2:$A$158,'Data Set 2 - Vehicles'!$E$2:$E$158,"Not Found",0,1)))</f>
        <v>Toyota Corolla</v>
      </c>
      <c r="R121" s="5">
        <f>_xlfn.XLOOKUP(A121,'Data Set 2 - Vehicles'!$A$2:$A$158,'Data Set 2 - Vehicles'!$O$2:$O$158,"",0,1)</f>
        <v>43932</v>
      </c>
      <c r="S121" s="1" t="str">
        <f>IF(_xlfn.XLOOKUP(A121,'Data Set 2 - Vehicles'!$A$2:$A$158,'Data Set 2 - Vehicles'!$E$2:$E$158,"Has No Vehicle",0,-1)=P121,"Has Only One Vehicle",_xlfn.XLOOKUP(A121,'Data Set 2 - Vehicles'!$A$2:$A$158,'Data Set 2 - Vehicles'!$E$2:$E$158,"Has No Vehcile",0,-1))</f>
        <v>Bravada</v>
      </c>
      <c r="T121" s="1" t="str">
        <f>_xlfn.LET(_xlpm.mfcname,_xlfn.XLOOKUP(A121,'Data Set 2 - Vehicles'!$A$2:$A$158,'Data Set 2 - Vehicles'!$D$2:$D$158,"NF",0,-1),_xlpm.mdlname,_xlfn.XLOOKUP(A121,'Data Set 2 - Vehicles'!$A$2:$A$158,'Data Set 2 - Vehicles'!$E$2:$E$158,"NF",0,-1),_xlpm.vehcilename,_xlfn.CONCAT(_xlpm.mfcname," ",_xlpm.mdlname),IF(S121="Has No Vehicle","Has No Vehicle",IF(S121="Has Only One Vehicle","Has Only One Vehicle",IF(_xlpm.vehcilename="NF NF","Not Found",_xlpm.vehcilename))))</f>
        <v>Oldsmobile Bravada</v>
      </c>
      <c r="U121" s="24">
        <f>_xlfn.LET(_xlpm.vserdate,_xlfn.XLOOKUP(A121,'Data Set 2 - Vehicles'!$A$2:$A$158,'Data Set 2 - Vehicles'!$O$2:$O$158,"NF",0,-1), IF(OR('Data Set 1'!S121="Has No Vehicle",'Data Set 1'!S121="Has Only One Vehicle"),'Data Set 1'!S121,_xlpm.vserdate))</f>
        <v>45556</v>
      </c>
      <c r="V121" s="1">
        <f>SUMIF('Data Set 2 - Vehicles'!$A$2:$A$158,'Data Set 1'!A121,'Data Set 2 - Vehicles'!$Q$2:$Q$158)</f>
        <v>370301</v>
      </c>
      <c r="W121" s="5">
        <f>_xlfn.LET(_xlpm.maxdate,_xlfn.MAXIFS('Data Set 2 - Vehicles'!$O$2:$O$158,'Data Set 2 - Vehicles'!$A$2:$A$158,'Data Set 1'!A121),IF(_xlpm.maxdate=0,"",_xlpm.maxdate))</f>
        <v>45556</v>
      </c>
      <c r="X121" s="1" t="str">
        <f t="shared" ca="1" si="7"/>
        <v>Active</v>
      </c>
      <c r="Y12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22" spans="1:25" ht="12.75" x14ac:dyDescent="0.35">
      <c r="A122" s="15">
        <v>1186</v>
      </c>
      <c r="B122" s="1" t="s">
        <v>971</v>
      </c>
      <c r="C122" s="1" t="s">
        <v>972</v>
      </c>
      <c r="D122" s="7" t="s">
        <v>974</v>
      </c>
      <c r="E122" s="1" t="s">
        <v>975</v>
      </c>
      <c r="F122" s="1" t="s">
        <v>976</v>
      </c>
      <c r="G122" s="11" t="s">
        <v>787</v>
      </c>
      <c r="H122" s="11">
        <v>34448</v>
      </c>
      <c r="I122" s="1" t="str">
        <f t="shared" si="4"/>
        <v>Hillary Skulski</v>
      </c>
      <c r="J122" s="1" t="str">
        <f t="shared" si="5"/>
        <v>Hillary Skulski</v>
      </c>
      <c r="K122" s="1" t="str">
        <f t="shared" si="6"/>
        <v>9</v>
      </c>
      <c r="L122" s="1" t="str">
        <f>VLOOKUP(A122,'Data Set 3 - Contacts'!$A$2:$F$136,5,FALSE)</f>
        <v>3522422570</v>
      </c>
      <c r="M122" s="1" t="str">
        <f>VLOOKUP(A122,'Data Set 3 - Contacts'!$A$2:$F$136,6,FALSE)</f>
        <v>3529905946</v>
      </c>
      <c r="N122" s="1" t="str">
        <f>VLOOKUP(A122,'Data Set 3 - Contacts'!$A$2:$F$136,4,FALSE)</f>
        <v>hillary.skulski@aol.com</v>
      </c>
      <c r="O122" s="1">
        <f>_xlfn.XLOOKUP(A122,'Data Set 2 - Vehicles'!$A$2:$A$158,'Data Set 2 - Vehicles'!$B$2:$B$158,0,0,-1)</f>
        <v>1</v>
      </c>
      <c r="P122" s="1" t="str">
        <f>_xlfn.XLOOKUP(A122,'Data Set 2 - Vehicles'!$A$2:$A$158,'Data Set 2 - Vehicles'!$E$2:$E$158,"Not Found",0,1)</f>
        <v>Grand Cherokee</v>
      </c>
      <c r="Q122" s="1" t="str">
        <f>IF(_xlfn.CONCAT(_xlfn.XLOOKUP(A122,'Data Set 2 - Vehicles'!$A$2:$A$158,'Data Set 2 - Vehicles'!$D$2:$D$158,"Not Found",0,1)," ",_xlfn.XLOOKUP(A122,'Data Set 2 - Vehicles'!$A$2:$A$158,'Data Set 2 - Vehicles'!$E$2:$E$158,"Not Found",0,1))="Not Found Not Found", "Not Found",_xlfn.CONCAT(_xlfn.XLOOKUP(A122,'Data Set 2 - Vehicles'!$A$2:$A$158,'Data Set 2 - Vehicles'!$D$2:$D$158,"Not Found",0,1)," ",_xlfn.XLOOKUP(A122,'Data Set 2 - Vehicles'!$A$2:$A$158,'Data Set 2 - Vehicles'!$E$2:$E$158,"Not Found",0,1)))</f>
        <v>Jeep Grand Cherokee</v>
      </c>
      <c r="R122" s="5">
        <f>_xlfn.XLOOKUP(A122,'Data Set 2 - Vehicles'!$A$2:$A$158,'Data Set 2 - Vehicles'!$O$2:$O$158,"",0,1)</f>
        <v>44905</v>
      </c>
      <c r="S122" s="1" t="str">
        <f>IF(_xlfn.XLOOKUP(A122,'Data Set 2 - Vehicles'!$A$2:$A$158,'Data Set 2 - Vehicles'!$E$2:$E$158,"Has No Vehicle",0,-1)=P122,"Has Only One Vehicle",_xlfn.XLOOKUP(A122,'Data Set 2 - Vehicles'!$A$2:$A$158,'Data Set 2 - Vehicles'!$E$2:$E$158,"Has No Vehcile",0,-1))</f>
        <v>Has Only One Vehicle</v>
      </c>
      <c r="T122" s="1" t="str">
        <f>_xlfn.LET(_xlpm.mfcname,_xlfn.XLOOKUP(A122,'Data Set 2 - Vehicles'!$A$2:$A$158,'Data Set 2 - Vehicles'!$D$2:$D$158,"NF",0,-1),_xlpm.mdlname,_xlfn.XLOOKUP(A122,'Data Set 2 - Vehicles'!$A$2:$A$158,'Data Set 2 - Vehicles'!$E$2:$E$158,"NF",0,-1),_xlpm.vehcilename,_xlfn.CONCAT(_xlpm.mfcname," ",_xlpm.mdlname),IF(S122="Has No Vehicle","Has No Vehicle",IF(S122="Has Only One Vehicle","Has Only One Vehicle",IF(_xlpm.vehcilename="NF NF","Not Found",_xlpm.vehcilename))))</f>
        <v>Has Only One Vehicle</v>
      </c>
      <c r="U122" s="24" t="str">
        <f>_xlfn.LET(_xlpm.vserdate,_xlfn.XLOOKUP(A122,'Data Set 2 - Vehicles'!$A$2:$A$158,'Data Set 2 - Vehicles'!$O$2:$O$158,"NF",0,-1), IF(OR('Data Set 1'!S122="Has No Vehicle",'Data Set 1'!S122="Has Only One Vehicle"),'Data Set 1'!S122,_xlpm.vserdate))</f>
        <v>Has Only One Vehicle</v>
      </c>
      <c r="V122" s="1">
        <f>SUMIF('Data Set 2 - Vehicles'!$A$2:$A$158,'Data Set 1'!A122,'Data Set 2 - Vehicles'!$Q$2:$Q$158)</f>
        <v>126424</v>
      </c>
      <c r="W122" s="5">
        <f>_xlfn.LET(_xlpm.maxdate,_xlfn.MAXIFS('Data Set 2 - Vehicles'!$O$2:$O$158,'Data Set 2 - Vehicles'!$A$2:$A$158,'Data Set 1'!A122),IF(_xlpm.maxdate=0,"",_xlpm.maxdate))</f>
        <v>44905</v>
      </c>
      <c r="X122" s="1" t="str">
        <f t="shared" ca="1" si="7"/>
        <v>Active</v>
      </c>
      <c r="Y12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23" spans="1:25" ht="12.75" x14ac:dyDescent="0.35">
      <c r="A123" s="17">
        <v>1069</v>
      </c>
      <c r="B123" s="1" t="s">
        <v>977</v>
      </c>
      <c r="C123" s="1" t="s">
        <v>979</v>
      </c>
      <c r="D123" s="7"/>
      <c r="E123" s="1" t="s">
        <v>980</v>
      </c>
      <c r="F123" s="1" t="s">
        <v>981</v>
      </c>
      <c r="G123" s="11" t="s">
        <v>495</v>
      </c>
      <c r="H123" s="11">
        <v>21061</v>
      </c>
      <c r="I123" s="1" t="str">
        <f t="shared" si="4"/>
        <v>Ilene Eroman</v>
      </c>
      <c r="J123" s="1" t="str">
        <f t="shared" si="5"/>
        <v>Ilene Eroman</v>
      </c>
      <c r="K123" s="1" t="str">
        <f t="shared" si="6"/>
        <v>2853</v>
      </c>
      <c r="L123" s="1" t="str">
        <f>VLOOKUP(A123,'Data Set 3 - Contacts'!$A$2:$F$136,5,FALSE)</f>
        <v>4109149018</v>
      </c>
      <c r="M123" s="1" t="str">
        <f>VLOOKUP(A123,'Data Set 3 - Contacts'!$A$2:$F$136,6,FALSE)</f>
        <v/>
      </c>
      <c r="N123" s="1" t="str">
        <f>VLOOKUP(A123,'Data Set 3 - Contacts'!$A$2:$F$136,4,FALSE)</f>
        <v>ilene.eroman@hotmail.com</v>
      </c>
      <c r="O123" s="1">
        <f>_xlfn.XLOOKUP(A123,'Data Set 2 - Vehicles'!$A$2:$A$158,'Data Set 2 - Vehicles'!$B$2:$B$158,0,0,-1)</f>
        <v>1</v>
      </c>
      <c r="P123" s="1" t="str">
        <f>_xlfn.XLOOKUP(A123,'Data Set 2 - Vehicles'!$A$2:$A$158,'Data Set 2 - Vehicles'!$E$2:$E$158,"Not Found",0,1)</f>
        <v>Escalade</v>
      </c>
      <c r="Q123" s="1" t="str">
        <f>IF(_xlfn.CONCAT(_xlfn.XLOOKUP(A123,'Data Set 2 - Vehicles'!$A$2:$A$158,'Data Set 2 - Vehicles'!$D$2:$D$158,"Not Found",0,1)," ",_xlfn.XLOOKUP(A123,'Data Set 2 - Vehicles'!$A$2:$A$158,'Data Set 2 - Vehicles'!$E$2:$E$158,"Not Found",0,1))="Not Found Not Found", "Not Found",_xlfn.CONCAT(_xlfn.XLOOKUP(A123,'Data Set 2 - Vehicles'!$A$2:$A$158,'Data Set 2 - Vehicles'!$D$2:$D$158,"Not Found",0,1)," ",_xlfn.XLOOKUP(A123,'Data Set 2 - Vehicles'!$A$2:$A$158,'Data Set 2 - Vehicles'!$E$2:$E$158,"Not Found",0,1)))</f>
        <v>Cadillac Escalade</v>
      </c>
      <c r="R123" s="5">
        <f>_xlfn.XLOOKUP(A123,'Data Set 2 - Vehicles'!$A$2:$A$158,'Data Set 2 - Vehicles'!$O$2:$O$158,"",0,1)</f>
        <v>41746</v>
      </c>
      <c r="S123" s="1" t="str">
        <f>IF(_xlfn.XLOOKUP(A123,'Data Set 2 - Vehicles'!$A$2:$A$158,'Data Set 2 - Vehicles'!$E$2:$E$158,"Has No Vehicle",0,-1)=P123,"Has Only One Vehicle",_xlfn.XLOOKUP(A123,'Data Set 2 - Vehicles'!$A$2:$A$158,'Data Set 2 - Vehicles'!$E$2:$E$158,"Has No Vehcile",0,-1))</f>
        <v>Has Only One Vehicle</v>
      </c>
      <c r="T123" s="1" t="str">
        <f>_xlfn.LET(_xlpm.mfcname,_xlfn.XLOOKUP(A123,'Data Set 2 - Vehicles'!$A$2:$A$158,'Data Set 2 - Vehicles'!$D$2:$D$158,"NF",0,-1),_xlpm.mdlname,_xlfn.XLOOKUP(A123,'Data Set 2 - Vehicles'!$A$2:$A$158,'Data Set 2 - Vehicles'!$E$2:$E$158,"NF",0,-1),_xlpm.vehcilename,_xlfn.CONCAT(_xlpm.mfcname," ",_xlpm.mdlname),IF(S123="Has No Vehicle","Has No Vehicle",IF(S123="Has Only One Vehicle","Has Only One Vehicle",IF(_xlpm.vehcilename="NF NF","Not Found",_xlpm.vehcilename))))</f>
        <v>Has Only One Vehicle</v>
      </c>
      <c r="U123" s="24" t="str">
        <f>_xlfn.LET(_xlpm.vserdate,_xlfn.XLOOKUP(A123,'Data Set 2 - Vehicles'!$A$2:$A$158,'Data Set 2 - Vehicles'!$O$2:$O$158,"NF",0,-1), IF(OR('Data Set 1'!S123="Has No Vehicle",'Data Set 1'!S123="Has Only One Vehicle"),'Data Set 1'!S123,_xlpm.vserdate))</f>
        <v>Has Only One Vehicle</v>
      </c>
      <c r="V123" s="1">
        <f>SUMIF('Data Set 2 - Vehicles'!$A$2:$A$158,'Data Set 1'!A123,'Data Set 2 - Vehicles'!$Q$2:$Q$158)</f>
        <v>237505</v>
      </c>
      <c r="W123" s="5">
        <f>_xlfn.LET(_xlpm.maxdate,_xlfn.MAXIFS('Data Set 2 - Vehicles'!$O$2:$O$158,'Data Set 2 - Vehicles'!$A$2:$A$158,'Data Set 1'!A123),IF(_xlpm.maxdate=0,"",_xlpm.maxdate))</f>
        <v>41746</v>
      </c>
      <c r="X123" s="1" t="str">
        <f t="shared" ca="1" si="7"/>
        <v>InActive</v>
      </c>
      <c r="Y12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24" spans="1:25" ht="12.75" x14ac:dyDescent="0.35">
      <c r="A124" s="17">
        <v>1182</v>
      </c>
      <c r="B124" s="1"/>
      <c r="C124" s="1"/>
      <c r="D124" s="7" t="s">
        <v>983</v>
      </c>
      <c r="E124" s="1" t="s">
        <v>984</v>
      </c>
      <c r="F124" s="1" t="s">
        <v>674</v>
      </c>
      <c r="G124" s="11" t="s">
        <v>392</v>
      </c>
      <c r="H124" s="11">
        <v>60623</v>
      </c>
      <c r="I124" s="1" t="str">
        <f t="shared" si="4"/>
        <v xml:space="preserve"> </v>
      </c>
      <c r="J124" s="1" t="str">
        <f t="shared" si="5"/>
        <v>Royal Pontiac Olds Inc</v>
      </c>
      <c r="K124" s="1" t="str">
        <f t="shared" si="6"/>
        <v>9</v>
      </c>
      <c r="L124" s="1" t="str">
        <f>VLOOKUP(A124,'Data Set 3 - Contacts'!$A$2:$F$136,5,FALSE)</f>
        <v>7734944195</v>
      </c>
      <c r="M124" s="1" t="str">
        <f>VLOOKUP(A124,'Data Set 3 - Contacts'!$A$2:$F$136,6,FALSE)</f>
        <v>7732979391</v>
      </c>
      <c r="N124" s="1" t="str">
        <f>VLOOKUP(A124,'Data Set 3 - Contacts'!$A$2:$F$136,4,FALSE)</f>
        <v>ccookey@cookey.org</v>
      </c>
      <c r="O124" s="1">
        <f>_xlfn.XLOOKUP(A124,'Data Set 2 - Vehicles'!$A$2:$A$158,'Data Set 2 - Vehicles'!$B$2:$B$158,0,0,-1)</f>
        <v>1</v>
      </c>
      <c r="P124" s="1" t="str">
        <f>_xlfn.XLOOKUP(A124,'Data Set 2 - Vehicles'!$A$2:$A$158,'Data Set 2 - Vehicles'!$E$2:$E$158,"Not Found",0,1)</f>
        <v>Navigator</v>
      </c>
      <c r="Q124" s="1" t="str">
        <f>IF(_xlfn.CONCAT(_xlfn.XLOOKUP(A124,'Data Set 2 - Vehicles'!$A$2:$A$158,'Data Set 2 - Vehicles'!$D$2:$D$158,"Not Found",0,1)," ",_xlfn.XLOOKUP(A124,'Data Set 2 - Vehicles'!$A$2:$A$158,'Data Set 2 - Vehicles'!$E$2:$E$158,"Not Found",0,1))="Not Found Not Found", "Not Found",_xlfn.CONCAT(_xlfn.XLOOKUP(A124,'Data Set 2 - Vehicles'!$A$2:$A$158,'Data Set 2 - Vehicles'!$D$2:$D$158,"Not Found",0,1)," ",_xlfn.XLOOKUP(A124,'Data Set 2 - Vehicles'!$A$2:$A$158,'Data Set 2 - Vehicles'!$E$2:$E$158,"Not Found",0,1)))</f>
        <v>Lincoln Navigator</v>
      </c>
      <c r="R124" s="5">
        <f>_xlfn.XLOOKUP(A124,'Data Set 2 - Vehicles'!$A$2:$A$158,'Data Set 2 - Vehicles'!$O$2:$O$158,"",0,1)</f>
        <v>44918</v>
      </c>
      <c r="S124" s="1" t="str">
        <f>IF(_xlfn.XLOOKUP(A124,'Data Set 2 - Vehicles'!$A$2:$A$158,'Data Set 2 - Vehicles'!$E$2:$E$158,"Has No Vehicle",0,-1)=P124,"Has Only One Vehicle",_xlfn.XLOOKUP(A124,'Data Set 2 - Vehicles'!$A$2:$A$158,'Data Set 2 - Vehicles'!$E$2:$E$158,"Has No Vehcile",0,-1))</f>
        <v>Has Only One Vehicle</v>
      </c>
      <c r="T124" s="1" t="str">
        <f>_xlfn.LET(_xlpm.mfcname,_xlfn.XLOOKUP(A124,'Data Set 2 - Vehicles'!$A$2:$A$158,'Data Set 2 - Vehicles'!$D$2:$D$158,"NF",0,-1),_xlpm.mdlname,_xlfn.XLOOKUP(A124,'Data Set 2 - Vehicles'!$A$2:$A$158,'Data Set 2 - Vehicles'!$E$2:$E$158,"NF",0,-1),_xlpm.vehcilename,_xlfn.CONCAT(_xlpm.mfcname," ",_xlpm.mdlname),IF(S124="Has No Vehicle","Has No Vehicle",IF(S124="Has Only One Vehicle","Has Only One Vehicle",IF(_xlpm.vehcilename="NF NF","Not Found",_xlpm.vehcilename))))</f>
        <v>Has Only One Vehicle</v>
      </c>
      <c r="U124" s="24" t="str">
        <f>_xlfn.LET(_xlpm.vserdate,_xlfn.XLOOKUP(A124,'Data Set 2 - Vehicles'!$A$2:$A$158,'Data Set 2 - Vehicles'!$O$2:$O$158,"NF",0,-1), IF(OR('Data Set 1'!S124="Has No Vehicle",'Data Set 1'!S124="Has Only One Vehicle"),'Data Set 1'!S124,_xlpm.vserdate))</f>
        <v>Has Only One Vehicle</v>
      </c>
      <c r="V124" s="1">
        <f>SUMIF('Data Set 2 - Vehicles'!$A$2:$A$158,'Data Set 1'!A124,'Data Set 2 - Vehicles'!$Q$2:$Q$158)</f>
        <v>68385</v>
      </c>
      <c r="W124" s="5">
        <f>_xlfn.LET(_xlpm.maxdate,_xlfn.MAXIFS('Data Set 2 - Vehicles'!$O$2:$O$158,'Data Set 2 - Vehicles'!$A$2:$A$158,'Data Set 1'!A124),IF(_xlpm.maxdate=0,"",_xlpm.maxdate))</f>
        <v>44918</v>
      </c>
      <c r="X124" s="1" t="str">
        <f t="shared" ca="1" si="7"/>
        <v>Active</v>
      </c>
      <c r="Y12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125" spans="1:25" ht="12.75" x14ac:dyDescent="0.35">
      <c r="A125" s="15">
        <v>1445</v>
      </c>
      <c r="B125" s="1" t="s">
        <v>905</v>
      </c>
      <c r="C125" s="1" t="s">
        <v>906</v>
      </c>
      <c r="D125" s="7" t="s">
        <v>985</v>
      </c>
      <c r="E125" s="1" t="s">
        <v>986</v>
      </c>
      <c r="F125" s="1" t="s">
        <v>987</v>
      </c>
      <c r="G125" s="11" t="s">
        <v>478</v>
      </c>
      <c r="H125" s="11">
        <v>38575</v>
      </c>
      <c r="I125" s="1" t="str">
        <f t="shared" si="4"/>
        <v>Josphine Villanueva</v>
      </c>
      <c r="J125" s="1" t="str">
        <f t="shared" si="5"/>
        <v>Josphine Villanueva</v>
      </c>
      <c r="K125" s="1" t="str">
        <f t="shared" si="6"/>
        <v>63</v>
      </c>
      <c r="L125" s="1" t="str">
        <f>VLOOKUP(A125,'Data Set 3 - Contacts'!$A$2:$F$136,5,FALSE)</f>
        <v>9315539774</v>
      </c>
      <c r="M125" s="1" t="str">
        <f>VLOOKUP(A125,'Data Set 3 - Contacts'!$A$2:$F$136,6,FALSE)</f>
        <v>9314866946</v>
      </c>
      <c r="N125" s="1" t="str">
        <f>VLOOKUP(A125,'Data Set 3 - Contacts'!$A$2:$F$136,4,FALSE)</f>
        <v>josphine_villanueva@villanueva.com</v>
      </c>
      <c r="O125" s="1">
        <f>_xlfn.XLOOKUP(A125,'Data Set 2 - Vehicles'!$A$2:$A$158,'Data Set 2 - Vehicles'!$B$2:$B$158,0,0,-1)</f>
        <v>1</v>
      </c>
      <c r="P125" s="1" t="str">
        <f>_xlfn.XLOOKUP(A125,'Data Set 2 - Vehicles'!$A$2:$A$158,'Data Set 2 - Vehicles'!$E$2:$E$158,"Not Found",0,1)</f>
        <v>GS300</v>
      </c>
      <c r="Q125" s="1" t="str">
        <f>IF(_xlfn.CONCAT(_xlfn.XLOOKUP(A125,'Data Set 2 - Vehicles'!$A$2:$A$158,'Data Set 2 - Vehicles'!$D$2:$D$158,"Not Found",0,1)," ",_xlfn.XLOOKUP(A125,'Data Set 2 - Vehicles'!$A$2:$A$158,'Data Set 2 - Vehicles'!$E$2:$E$158,"Not Found",0,1))="Not Found Not Found", "Not Found",_xlfn.CONCAT(_xlfn.XLOOKUP(A125,'Data Set 2 - Vehicles'!$A$2:$A$158,'Data Set 2 - Vehicles'!$D$2:$D$158,"Not Found",0,1)," ",_xlfn.XLOOKUP(A125,'Data Set 2 - Vehicles'!$A$2:$A$158,'Data Set 2 - Vehicles'!$E$2:$E$158,"Not Found",0,1)))</f>
        <v>Lexus GS300</v>
      </c>
      <c r="R125" s="5">
        <f>_xlfn.XLOOKUP(A125,'Data Set 2 - Vehicles'!$A$2:$A$158,'Data Set 2 - Vehicles'!$O$2:$O$158,"",0,1)</f>
        <v>39943</v>
      </c>
      <c r="S125" s="1" t="str">
        <f>IF(_xlfn.XLOOKUP(A125,'Data Set 2 - Vehicles'!$A$2:$A$158,'Data Set 2 - Vehicles'!$E$2:$E$158,"Has No Vehicle",0,-1)=P125,"Has Only One Vehicle",_xlfn.XLOOKUP(A125,'Data Set 2 - Vehicles'!$A$2:$A$158,'Data Set 2 - Vehicles'!$E$2:$E$158,"Has No Vehcile",0,-1))</f>
        <v>Has Only One Vehicle</v>
      </c>
      <c r="T125" s="1" t="str">
        <f>_xlfn.LET(_xlpm.mfcname,_xlfn.XLOOKUP(A125,'Data Set 2 - Vehicles'!$A$2:$A$158,'Data Set 2 - Vehicles'!$D$2:$D$158,"NF",0,-1),_xlpm.mdlname,_xlfn.XLOOKUP(A125,'Data Set 2 - Vehicles'!$A$2:$A$158,'Data Set 2 - Vehicles'!$E$2:$E$158,"NF",0,-1),_xlpm.vehcilename,_xlfn.CONCAT(_xlpm.mfcname," ",_xlpm.mdlname),IF(S125="Has No Vehicle","Has No Vehicle",IF(S125="Has Only One Vehicle","Has Only One Vehicle",IF(_xlpm.vehcilename="NF NF","Not Found",_xlpm.vehcilename))))</f>
        <v>Has Only One Vehicle</v>
      </c>
      <c r="U125" s="24" t="str">
        <f>_xlfn.LET(_xlpm.vserdate,_xlfn.XLOOKUP(A125,'Data Set 2 - Vehicles'!$A$2:$A$158,'Data Set 2 - Vehicles'!$O$2:$O$158,"NF",0,-1), IF(OR('Data Set 1'!S125="Has No Vehicle",'Data Set 1'!S125="Has Only One Vehicle"),'Data Set 1'!S125,_xlpm.vserdate))</f>
        <v>Has Only One Vehicle</v>
      </c>
      <c r="V125" s="1">
        <f>SUMIF('Data Set 2 - Vehicles'!$A$2:$A$158,'Data Set 1'!A125,'Data Set 2 - Vehicles'!$Q$2:$Q$158)</f>
        <v>51706</v>
      </c>
      <c r="W125" s="5">
        <f>_xlfn.LET(_xlpm.maxdate,_xlfn.MAXIFS('Data Set 2 - Vehicles'!$O$2:$O$158,'Data Set 2 - Vehicles'!$A$2:$A$158,'Data Set 1'!A125),IF(_xlpm.maxdate=0,"",_xlpm.maxdate))</f>
        <v>39943</v>
      </c>
      <c r="X125" s="1" t="str">
        <f t="shared" ca="1" si="7"/>
        <v>InActive</v>
      </c>
      <c r="Y12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126" spans="1:25" ht="12.75" x14ac:dyDescent="0.35">
      <c r="A126" s="15">
        <v>1140</v>
      </c>
      <c r="B126" s="1" t="s">
        <v>989</v>
      </c>
      <c r="C126" s="1" t="s">
        <v>990</v>
      </c>
      <c r="D126" s="7"/>
      <c r="E126" s="1" t="s">
        <v>991</v>
      </c>
      <c r="F126" s="1" t="s">
        <v>674</v>
      </c>
      <c r="G126" s="11" t="s">
        <v>392</v>
      </c>
      <c r="H126" s="11">
        <v>60604</v>
      </c>
      <c r="I126" s="1" t="str">
        <f t="shared" si="4"/>
        <v>Valentin Klimek</v>
      </c>
      <c r="J126" s="1" t="str">
        <f t="shared" si="5"/>
        <v>Valentin Klimek</v>
      </c>
      <c r="K126" s="1" t="str">
        <f t="shared" si="6"/>
        <v>137</v>
      </c>
      <c r="L126" s="1" t="str">
        <f>VLOOKUP(A126,'Data Set 3 - Contacts'!$A$2:$F$136,5,FALSE)</f>
        <v>3123035453</v>
      </c>
      <c r="M126" s="1" t="str">
        <f>VLOOKUP(A126,'Data Set 3 - Contacts'!$A$2:$F$136,6,FALSE)</f>
        <v>3125122338</v>
      </c>
      <c r="N126" s="1" t="str">
        <f>VLOOKUP(A126,'Data Set 3 - Contacts'!$A$2:$F$136,4,FALSE)</f>
        <v>vklimek@klimek.org</v>
      </c>
      <c r="O126" s="1">
        <f>_xlfn.XLOOKUP(A126,'Data Set 2 - Vehicles'!$A$2:$A$158,'Data Set 2 - Vehicles'!$B$2:$B$158,0,0,-1)</f>
        <v>1</v>
      </c>
      <c r="P126" s="1" t="str">
        <f>_xlfn.XLOOKUP(A126,'Data Set 2 - Vehicles'!$A$2:$A$158,'Data Set 2 - Vehicles'!$E$2:$E$158,"Not Found",0,1)</f>
        <v>Sable</v>
      </c>
      <c r="Q126" s="1" t="str">
        <f>IF(_xlfn.CONCAT(_xlfn.XLOOKUP(A126,'Data Set 2 - Vehicles'!$A$2:$A$158,'Data Set 2 - Vehicles'!$D$2:$D$158,"Not Found",0,1)," ",_xlfn.XLOOKUP(A126,'Data Set 2 - Vehicles'!$A$2:$A$158,'Data Set 2 - Vehicles'!$E$2:$E$158,"Not Found",0,1))="Not Found Not Found", "Not Found",_xlfn.CONCAT(_xlfn.XLOOKUP(A126,'Data Set 2 - Vehicles'!$A$2:$A$158,'Data Set 2 - Vehicles'!$D$2:$D$158,"Not Found",0,1)," ",_xlfn.XLOOKUP(A126,'Data Set 2 - Vehicles'!$A$2:$A$158,'Data Set 2 - Vehicles'!$E$2:$E$158,"Not Found",0,1)))</f>
        <v>Mercury Sable</v>
      </c>
      <c r="R126" s="5">
        <f>_xlfn.XLOOKUP(A126,'Data Set 2 - Vehicles'!$A$2:$A$158,'Data Set 2 - Vehicles'!$O$2:$O$158,"",0,1)</f>
        <v>43000</v>
      </c>
      <c r="S126" s="1" t="str">
        <f>IF(_xlfn.XLOOKUP(A126,'Data Set 2 - Vehicles'!$A$2:$A$158,'Data Set 2 - Vehicles'!$E$2:$E$158,"Has No Vehicle",0,-1)=P126,"Has Only One Vehicle",_xlfn.XLOOKUP(A126,'Data Set 2 - Vehicles'!$A$2:$A$158,'Data Set 2 - Vehicles'!$E$2:$E$158,"Has No Vehcile",0,-1))</f>
        <v>Has Only One Vehicle</v>
      </c>
      <c r="T126" s="1" t="str">
        <f>_xlfn.LET(_xlpm.mfcname,_xlfn.XLOOKUP(A126,'Data Set 2 - Vehicles'!$A$2:$A$158,'Data Set 2 - Vehicles'!$D$2:$D$158,"NF",0,-1),_xlpm.mdlname,_xlfn.XLOOKUP(A126,'Data Set 2 - Vehicles'!$A$2:$A$158,'Data Set 2 - Vehicles'!$E$2:$E$158,"NF",0,-1),_xlpm.vehcilename,_xlfn.CONCAT(_xlpm.mfcname," ",_xlpm.mdlname),IF(S126="Has No Vehicle","Has No Vehicle",IF(S126="Has Only One Vehicle","Has Only One Vehicle",IF(_xlpm.vehcilename="NF NF","Not Found",_xlpm.vehcilename))))</f>
        <v>Has Only One Vehicle</v>
      </c>
      <c r="U126" s="24" t="str">
        <f>_xlfn.LET(_xlpm.vserdate,_xlfn.XLOOKUP(A126,'Data Set 2 - Vehicles'!$A$2:$A$158,'Data Set 2 - Vehicles'!$O$2:$O$158,"NF",0,-1), IF(OR('Data Set 1'!S126="Has No Vehicle",'Data Set 1'!S126="Has Only One Vehicle"),'Data Set 1'!S126,_xlpm.vserdate))</f>
        <v>Has Only One Vehicle</v>
      </c>
      <c r="V126" s="1">
        <f>SUMIF('Data Set 2 - Vehicles'!$A$2:$A$158,'Data Set 1'!A126,'Data Set 2 - Vehicles'!$Q$2:$Q$158)</f>
        <v>76930</v>
      </c>
      <c r="W126" s="5">
        <f>_xlfn.LET(_xlpm.maxdate,_xlfn.MAXIFS('Data Set 2 - Vehicles'!$O$2:$O$158,'Data Set 2 - Vehicles'!$A$2:$A$158,'Data Set 1'!A126),IF(_xlpm.maxdate=0,"",_xlpm.maxdate))</f>
        <v>43000</v>
      </c>
      <c r="X126" s="1" t="str">
        <f t="shared" ca="1" si="7"/>
        <v>InActive</v>
      </c>
      <c r="Y12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127" spans="1:25" ht="12.75" x14ac:dyDescent="0.35">
      <c r="A127" s="15">
        <v>1387</v>
      </c>
      <c r="B127" s="1" t="s">
        <v>993</v>
      </c>
      <c r="C127" s="1" t="s">
        <v>994</v>
      </c>
      <c r="D127" s="7" t="s">
        <v>995</v>
      </c>
      <c r="E127" s="1" t="s">
        <v>996</v>
      </c>
      <c r="F127" s="1" t="s">
        <v>683</v>
      </c>
      <c r="G127" s="11" t="s">
        <v>684</v>
      </c>
      <c r="H127" s="11">
        <v>99501</v>
      </c>
      <c r="I127" s="1" t="str">
        <f t="shared" si="4"/>
        <v>Gail Kitty</v>
      </c>
      <c r="J127" s="1" t="str">
        <f t="shared" si="5"/>
        <v>Gail Kitty</v>
      </c>
      <c r="K127" s="1" t="str">
        <f t="shared" si="6"/>
        <v>735</v>
      </c>
      <c r="L127" s="1" t="str">
        <f>VLOOKUP(A127,'Data Set 3 - Contacts'!$A$2:$F$136,5,FALSE)</f>
        <v>9074359166</v>
      </c>
      <c r="M127" s="1" t="str">
        <f>VLOOKUP(A127,'Data Set 3 - Contacts'!$A$2:$F$136,6,FALSE)</f>
        <v/>
      </c>
      <c r="N127" s="1" t="str">
        <f>VLOOKUP(A127,'Data Set 3 - Contacts'!$A$2:$F$136,4,FALSE)</f>
        <v>gail@kitty.com</v>
      </c>
      <c r="O127" s="1">
        <f>_xlfn.XLOOKUP(A127,'Data Set 2 - Vehicles'!$A$2:$A$158,'Data Set 2 - Vehicles'!$B$2:$B$158,0,0,-1)</f>
        <v>1</v>
      </c>
      <c r="P127" s="1" t="str">
        <f>_xlfn.XLOOKUP(A127,'Data Set 2 - Vehicles'!$A$2:$A$158,'Data Set 2 - Vehicles'!$E$2:$E$158,"Not Found",0,1)</f>
        <v>DeVille</v>
      </c>
      <c r="Q127" s="1" t="str">
        <f>IF(_xlfn.CONCAT(_xlfn.XLOOKUP(A127,'Data Set 2 - Vehicles'!$A$2:$A$158,'Data Set 2 - Vehicles'!$D$2:$D$158,"Not Found",0,1)," ",_xlfn.XLOOKUP(A127,'Data Set 2 - Vehicles'!$A$2:$A$158,'Data Set 2 - Vehicles'!$E$2:$E$158,"Not Found",0,1))="Not Found Not Found", "Not Found",_xlfn.CONCAT(_xlfn.XLOOKUP(A127,'Data Set 2 - Vehicles'!$A$2:$A$158,'Data Set 2 - Vehicles'!$D$2:$D$158,"Not Found",0,1)," ",_xlfn.XLOOKUP(A127,'Data Set 2 - Vehicles'!$A$2:$A$158,'Data Set 2 - Vehicles'!$E$2:$E$158,"Not Found",0,1)))</f>
        <v>Cadillac DeVille</v>
      </c>
      <c r="R127" s="5">
        <f>_xlfn.XLOOKUP(A127,'Data Set 2 - Vehicles'!$A$2:$A$158,'Data Set 2 - Vehicles'!$O$2:$O$158,"",0,1)</f>
        <v>45711</v>
      </c>
      <c r="S127" s="1" t="str">
        <f>IF(_xlfn.XLOOKUP(A127,'Data Set 2 - Vehicles'!$A$2:$A$158,'Data Set 2 - Vehicles'!$E$2:$E$158,"Has No Vehicle",0,-1)=P127,"Has Only One Vehicle",_xlfn.XLOOKUP(A127,'Data Set 2 - Vehicles'!$A$2:$A$158,'Data Set 2 - Vehicles'!$E$2:$E$158,"Has No Vehcile",0,-1))</f>
        <v>Has Only One Vehicle</v>
      </c>
      <c r="T127" s="1" t="str">
        <f>_xlfn.LET(_xlpm.mfcname,_xlfn.XLOOKUP(A127,'Data Set 2 - Vehicles'!$A$2:$A$158,'Data Set 2 - Vehicles'!$D$2:$D$158,"NF",0,-1),_xlpm.mdlname,_xlfn.XLOOKUP(A127,'Data Set 2 - Vehicles'!$A$2:$A$158,'Data Set 2 - Vehicles'!$E$2:$E$158,"NF",0,-1),_xlpm.vehcilename,_xlfn.CONCAT(_xlpm.mfcname," ",_xlpm.mdlname),IF(S127="Has No Vehicle","Has No Vehicle",IF(S127="Has Only One Vehicle","Has Only One Vehicle",IF(_xlpm.vehcilename="NF NF","Not Found",_xlpm.vehcilename))))</f>
        <v>Has Only One Vehicle</v>
      </c>
      <c r="U127" s="24" t="str">
        <f>_xlfn.LET(_xlpm.vserdate,_xlfn.XLOOKUP(A127,'Data Set 2 - Vehicles'!$A$2:$A$158,'Data Set 2 - Vehicles'!$O$2:$O$158,"NF",0,-1), IF(OR('Data Set 1'!S127="Has No Vehicle",'Data Set 1'!S127="Has Only One Vehicle"),'Data Set 1'!S127,_xlpm.vserdate))</f>
        <v>Has Only One Vehicle</v>
      </c>
      <c r="V127" s="1">
        <f>SUMIF('Data Set 2 - Vehicles'!$A$2:$A$158,'Data Set 1'!A127,'Data Set 2 - Vehicles'!$Q$2:$Q$158)</f>
        <v>241416</v>
      </c>
      <c r="W127" s="5">
        <f>_xlfn.LET(_xlpm.maxdate,_xlfn.MAXIFS('Data Set 2 - Vehicles'!$O$2:$O$158,'Data Set 2 - Vehicles'!$A$2:$A$158,'Data Set 1'!A127),IF(_xlpm.maxdate=0,"",_xlpm.maxdate))</f>
        <v>45711</v>
      </c>
      <c r="X127" s="1" t="str">
        <f t="shared" ca="1" si="7"/>
        <v>Active</v>
      </c>
      <c r="Y12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28" spans="1:25" ht="12.75" x14ac:dyDescent="0.35">
      <c r="A128" s="15">
        <v>1146</v>
      </c>
      <c r="B128" s="1" t="s">
        <v>998</v>
      </c>
      <c r="C128" s="1" t="s">
        <v>999</v>
      </c>
      <c r="D128" s="7"/>
      <c r="E128" s="1" t="s">
        <v>1000</v>
      </c>
      <c r="F128" s="1" t="s">
        <v>1001</v>
      </c>
      <c r="G128" s="11" t="s">
        <v>495</v>
      </c>
      <c r="H128" s="11">
        <v>21655</v>
      </c>
      <c r="I128" s="1" t="str">
        <f t="shared" si="4"/>
        <v>Fernanda Jillson</v>
      </c>
      <c r="J128" s="1" t="str">
        <f t="shared" si="5"/>
        <v>Fernanda Jillson</v>
      </c>
      <c r="K128" s="1" t="str">
        <f t="shared" si="6"/>
        <v>60480</v>
      </c>
      <c r="L128" s="1" t="str">
        <f>VLOOKUP(A128,'Data Set 3 - Contacts'!$A$2:$F$136,5,FALSE)</f>
        <v>4103875260</v>
      </c>
      <c r="M128" s="1" t="str">
        <f>VLOOKUP(A128,'Data Set 3 - Contacts'!$A$2:$F$136,6,FALSE)</f>
        <v>4107246472</v>
      </c>
      <c r="N128" s="1" t="str">
        <f>VLOOKUP(A128,'Data Set 3 - Contacts'!$A$2:$F$136,4,FALSE)</f>
        <v>fjillson@aol.com</v>
      </c>
      <c r="O128" s="1">
        <f>_xlfn.XLOOKUP(A128,'Data Set 2 - Vehicles'!$A$2:$A$158,'Data Set 2 - Vehicles'!$B$2:$B$158,0,0,-1)</f>
        <v>1</v>
      </c>
      <c r="P128" s="1" t="str">
        <f>_xlfn.XLOOKUP(A128,'Data Set 2 - Vehicles'!$A$2:$A$158,'Data Set 2 - Vehicles'!$E$2:$E$158,"Not Found",0,1)</f>
        <v>Elantra</v>
      </c>
      <c r="Q128" s="1" t="str">
        <f>IF(_xlfn.CONCAT(_xlfn.XLOOKUP(A128,'Data Set 2 - Vehicles'!$A$2:$A$158,'Data Set 2 - Vehicles'!$D$2:$D$158,"Not Found",0,1)," ",_xlfn.XLOOKUP(A128,'Data Set 2 - Vehicles'!$A$2:$A$158,'Data Set 2 - Vehicles'!$E$2:$E$158,"Not Found",0,1))="Not Found Not Found", "Not Found",_xlfn.CONCAT(_xlfn.XLOOKUP(A128,'Data Set 2 - Vehicles'!$A$2:$A$158,'Data Set 2 - Vehicles'!$D$2:$D$158,"Not Found",0,1)," ",_xlfn.XLOOKUP(A128,'Data Set 2 - Vehicles'!$A$2:$A$158,'Data Set 2 - Vehicles'!$E$2:$E$158,"Not Found",0,1)))</f>
        <v>Hyundai Elantra</v>
      </c>
      <c r="R128" s="5">
        <f>_xlfn.XLOOKUP(A128,'Data Set 2 - Vehicles'!$A$2:$A$158,'Data Set 2 - Vehicles'!$O$2:$O$158,"",0,1)</f>
        <v>45245</v>
      </c>
      <c r="S128" s="1" t="str">
        <f>IF(_xlfn.XLOOKUP(A128,'Data Set 2 - Vehicles'!$A$2:$A$158,'Data Set 2 - Vehicles'!$E$2:$E$158,"Has No Vehicle",0,-1)=P128,"Has Only One Vehicle",_xlfn.XLOOKUP(A128,'Data Set 2 - Vehicles'!$A$2:$A$158,'Data Set 2 - Vehicles'!$E$2:$E$158,"Has No Vehcile",0,-1))</f>
        <v>Has Only One Vehicle</v>
      </c>
      <c r="T128" s="1" t="str">
        <f>_xlfn.LET(_xlpm.mfcname,_xlfn.XLOOKUP(A128,'Data Set 2 - Vehicles'!$A$2:$A$158,'Data Set 2 - Vehicles'!$D$2:$D$158,"NF",0,-1),_xlpm.mdlname,_xlfn.XLOOKUP(A128,'Data Set 2 - Vehicles'!$A$2:$A$158,'Data Set 2 - Vehicles'!$E$2:$E$158,"NF",0,-1),_xlpm.vehcilename,_xlfn.CONCAT(_xlpm.mfcname," ",_xlpm.mdlname),IF(S128="Has No Vehicle","Has No Vehicle",IF(S128="Has Only One Vehicle","Has Only One Vehicle",IF(_xlpm.vehcilename="NF NF","Not Found",_xlpm.vehcilename))))</f>
        <v>Has Only One Vehicle</v>
      </c>
      <c r="U128" s="24" t="str">
        <f>_xlfn.LET(_xlpm.vserdate,_xlfn.XLOOKUP(A128,'Data Set 2 - Vehicles'!$A$2:$A$158,'Data Set 2 - Vehicles'!$O$2:$O$158,"NF",0,-1), IF(OR('Data Set 1'!S128="Has No Vehicle",'Data Set 1'!S128="Has Only One Vehicle"),'Data Set 1'!S128,_xlpm.vserdate))</f>
        <v>Has Only One Vehicle</v>
      </c>
      <c r="V128" s="1">
        <f>SUMIF('Data Set 2 - Vehicles'!$A$2:$A$158,'Data Set 1'!A128,'Data Set 2 - Vehicles'!$Q$2:$Q$158)</f>
        <v>170933</v>
      </c>
      <c r="W128" s="5">
        <f>_xlfn.LET(_xlpm.maxdate,_xlfn.MAXIFS('Data Set 2 - Vehicles'!$O$2:$O$158,'Data Set 2 - Vehicles'!$A$2:$A$158,'Data Set 1'!A128),IF(_xlpm.maxdate=0,"",_xlpm.maxdate))</f>
        <v>45245</v>
      </c>
      <c r="X128" s="1" t="str">
        <f t="shared" ca="1" si="7"/>
        <v>Active</v>
      </c>
      <c r="Y12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29" spans="1:25" ht="12.75" x14ac:dyDescent="0.35">
      <c r="A129" s="15">
        <v>1380</v>
      </c>
      <c r="B129" s="1" t="s">
        <v>1003</v>
      </c>
      <c r="C129" s="1" t="s">
        <v>1004</v>
      </c>
      <c r="D129" s="7" t="s">
        <v>1005</v>
      </c>
      <c r="E129" s="1" t="s">
        <v>1006</v>
      </c>
      <c r="F129" s="1" t="s">
        <v>643</v>
      </c>
      <c r="G129" s="11" t="s">
        <v>435</v>
      </c>
      <c r="H129" s="11">
        <v>94545</v>
      </c>
      <c r="I129" s="1" t="str">
        <f t="shared" si="4"/>
        <v>Gayla Schnitzler</v>
      </c>
      <c r="J129" s="1" t="str">
        <f t="shared" si="5"/>
        <v>Gayla Schnitzler</v>
      </c>
      <c r="K129" s="1" t="str">
        <f t="shared" si="6"/>
        <v>38</v>
      </c>
      <c r="L129" s="1" t="str">
        <f>VLOOKUP(A129,'Data Set 3 - Contacts'!$A$2:$F$136,5,FALSE)</f>
        <v>5106863407</v>
      </c>
      <c r="M129" s="1" t="str">
        <f>VLOOKUP(A129,'Data Set 3 - Contacts'!$A$2:$F$136,6,FALSE)</f>
        <v/>
      </c>
      <c r="N129" s="1" t="str">
        <f>VLOOKUP(A129,'Data Set 3 - Contacts'!$A$2:$F$136,4,FALSE)</f>
        <v>gschnitzler@gmail.com</v>
      </c>
      <c r="O129" s="1">
        <f>_xlfn.XLOOKUP(A129,'Data Set 2 - Vehicles'!$A$2:$A$158,'Data Set 2 - Vehicles'!$B$2:$B$158,0,0,-1)</f>
        <v>2</v>
      </c>
      <c r="P129" s="1" t="str">
        <f>_xlfn.XLOOKUP(A129,'Data Set 2 - Vehicles'!$A$2:$A$158,'Data Set 2 - Vehicles'!$E$2:$E$158,"Not Found",0,1)</f>
        <v>Crown Victoria</v>
      </c>
      <c r="Q129" s="1" t="str">
        <f>IF(_xlfn.CONCAT(_xlfn.XLOOKUP(A129,'Data Set 2 - Vehicles'!$A$2:$A$158,'Data Set 2 - Vehicles'!$D$2:$D$158,"Not Found",0,1)," ",_xlfn.XLOOKUP(A129,'Data Set 2 - Vehicles'!$A$2:$A$158,'Data Set 2 - Vehicles'!$E$2:$E$158,"Not Found",0,1))="Not Found Not Found", "Not Found",_xlfn.CONCAT(_xlfn.XLOOKUP(A129,'Data Set 2 - Vehicles'!$A$2:$A$158,'Data Set 2 - Vehicles'!$D$2:$D$158,"Not Found",0,1)," ",_xlfn.XLOOKUP(A129,'Data Set 2 - Vehicles'!$A$2:$A$158,'Data Set 2 - Vehicles'!$E$2:$E$158,"Not Found",0,1)))</f>
        <v>Ford Crown Victoria</v>
      </c>
      <c r="R129" s="5">
        <f>_xlfn.XLOOKUP(A129,'Data Set 2 - Vehicles'!$A$2:$A$158,'Data Set 2 - Vehicles'!$O$2:$O$158,"",0,1)</f>
        <v>43369</v>
      </c>
      <c r="S129" s="1" t="str">
        <f>IF(_xlfn.XLOOKUP(A129,'Data Set 2 - Vehicles'!$A$2:$A$158,'Data Set 2 - Vehicles'!$E$2:$E$158,"Has No Vehicle",0,-1)=P129,"Has Only One Vehicle",_xlfn.XLOOKUP(A129,'Data Set 2 - Vehicles'!$A$2:$A$158,'Data Set 2 - Vehicles'!$E$2:$E$158,"Has No Vehcile",0,-1))</f>
        <v>323i</v>
      </c>
      <c r="T129" s="1" t="str">
        <f>_xlfn.LET(_xlpm.mfcname,_xlfn.XLOOKUP(A129,'Data Set 2 - Vehicles'!$A$2:$A$158,'Data Set 2 - Vehicles'!$D$2:$D$158,"NF",0,-1),_xlpm.mdlname,_xlfn.XLOOKUP(A129,'Data Set 2 - Vehicles'!$A$2:$A$158,'Data Set 2 - Vehicles'!$E$2:$E$158,"NF",0,-1),_xlpm.vehcilename,_xlfn.CONCAT(_xlpm.mfcname," ",_xlpm.mdlname),IF(S129="Has No Vehicle","Has No Vehicle",IF(S129="Has Only One Vehicle","Has Only One Vehicle",IF(_xlpm.vehcilename="NF NF","Not Found",_xlpm.vehcilename))))</f>
        <v>BMW 323i</v>
      </c>
      <c r="U129" s="24">
        <f>_xlfn.LET(_xlpm.vserdate,_xlfn.XLOOKUP(A129,'Data Set 2 - Vehicles'!$A$2:$A$158,'Data Set 2 - Vehicles'!$O$2:$O$158,"NF",0,-1), IF(OR('Data Set 1'!S129="Has No Vehicle",'Data Set 1'!S129="Has Only One Vehicle"),'Data Set 1'!S129,_xlpm.vserdate))</f>
        <v>43644</v>
      </c>
      <c r="V129" s="1">
        <f>SUMIF('Data Set 2 - Vehicles'!$A$2:$A$158,'Data Set 1'!A129,'Data Set 2 - Vehicles'!$Q$2:$Q$158)</f>
        <v>432258</v>
      </c>
      <c r="W129" s="5">
        <f>_xlfn.LET(_xlpm.maxdate,_xlfn.MAXIFS('Data Set 2 - Vehicles'!$O$2:$O$158,'Data Set 2 - Vehicles'!$A$2:$A$158,'Data Set 1'!A129),IF(_xlpm.maxdate=0,"",_xlpm.maxdate))</f>
        <v>43644</v>
      </c>
      <c r="X129" s="1" t="str">
        <f t="shared" ca="1" si="7"/>
        <v>InActive</v>
      </c>
      <c r="Y12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30" spans="1:25" ht="12.75" x14ac:dyDescent="0.35">
      <c r="A130" s="15">
        <v>1498</v>
      </c>
      <c r="B130" s="1"/>
      <c r="C130" s="1"/>
      <c r="D130" s="7" t="s">
        <v>1008</v>
      </c>
      <c r="E130" s="1" t="s">
        <v>1009</v>
      </c>
      <c r="F130" s="1" t="s">
        <v>1010</v>
      </c>
      <c r="G130" s="11" t="s">
        <v>698</v>
      </c>
      <c r="H130" s="11">
        <v>69301</v>
      </c>
      <c r="I130" s="1" t="str">
        <f t="shared" si="4"/>
        <v xml:space="preserve"> </v>
      </c>
      <c r="J130" s="1" t="str">
        <f t="shared" si="5"/>
        <v>Simonton Howe &amp; Schneider Pc</v>
      </c>
      <c r="K130" s="1" t="str">
        <f t="shared" si="6"/>
        <v>89992</v>
      </c>
      <c r="L130" s="1" t="str">
        <f>VLOOKUP(A130,'Data Set 3 - Contacts'!$A$2:$F$136,5,FALSE)</f>
        <v>3087262182</v>
      </c>
      <c r="M130" s="1" t="str">
        <f>VLOOKUP(A130,'Data Set 3 - Contacts'!$A$2:$F$136,6,FALSE)</f>
        <v>3082506987</v>
      </c>
      <c r="N130" s="1" t="str">
        <f>VLOOKUP(A130,'Data Set 3 - Contacts'!$A$2:$F$136,4,FALSE)</f>
        <v>flo.bookamer@cox.net</v>
      </c>
      <c r="O130" s="1">
        <f>_xlfn.XLOOKUP(A130,'Data Set 2 - Vehicles'!$A$2:$A$158,'Data Set 2 - Vehicles'!$B$2:$B$158,0,0,-1)</f>
        <v>0</v>
      </c>
      <c r="P130" s="1" t="str">
        <f>_xlfn.XLOOKUP(A130,'Data Set 2 - Vehicles'!$A$2:$A$158,'Data Set 2 - Vehicles'!$E$2:$E$158,"Not Found",0,1)</f>
        <v>Not Found</v>
      </c>
      <c r="Q130" s="1" t="str">
        <f>IF(_xlfn.CONCAT(_xlfn.XLOOKUP(A130,'Data Set 2 - Vehicles'!$A$2:$A$158,'Data Set 2 - Vehicles'!$D$2:$D$158,"Not Found",0,1)," ",_xlfn.XLOOKUP(A130,'Data Set 2 - Vehicles'!$A$2:$A$158,'Data Set 2 - Vehicles'!$E$2:$E$158,"Not Found",0,1))="Not Found Not Found", "Not Found",_xlfn.CONCAT(_xlfn.XLOOKUP(A130,'Data Set 2 - Vehicles'!$A$2:$A$158,'Data Set 2 - Vehicles'!$D$2:$D$158,"Not Found",0,1)," ",_xlfn.XLOOKUP(A130,'Data Set 2 - Vehicles'!$A$2:$A$158,'Data Set 2 - Vehicles'!$E$2:$E$158,"Not Found",0,1)))</f>
        <v>Not Found</v>
      </c>
      <c r="R130" s="5" t="str">
        <f>_xlfn.XLOOKUP(A130,'Data Set 2 - Vehicles'!$A$2:$A$158,'Data Set 2 - Vehicles'!$O$2:$O$158,"",0,1)</f>
        <v/>
      </c>
      <c r="S130" s="1" t="str">
        <f>IF(_xlfn.XLOOKUP(A130,'Data Set 2 - Vehicles'!$A$2:$A$158,'Data Set 2 - Vehicles'!$E$2:$E$158,"Has No Vehicle",0,-1)=P130,"Has Only One Vehicle",_xlfn.XLOOKUP(A130,'Data Set 2 - Vehicles'!$A$2:$A$158,'Data Set 2 - Vehicles'!$E$2:$E$158,"Has No Vehcile",0,-1))</f>
        <v>Has No Vehcile</v>
      </c>
      <c r="T130" s="1" t="str">
        <f>_xlfn.LET(_xlpm.mfcname,_xlfn.XLOOKUP(A130,'Data Set 2 - Vehicles'!$A$2:$A$158,'Data Set 2 - Vehicles'!$D$2:$D$158,"NF",0,-1),_xlpm.mdlname,_xlfn.XLOOKUP(A130,'Data Set 2 - Vehicles'!$A$2:$A$158,'Data Set 2 - Vehicles'!$E$2:$E$158,"NF",0,-1),_xlpm.vehcilename,_xlfn.CONCAT(_xlpm.mfcname," ",_xlpm.mdlname),IF(S130="Has No Vehicle","Has No Vehicle",IF(S130="Has Only One Vehicle","Has Only One Vehicle",IF(_xlpm.vehcilename="NF NF","Not Found",_xlpm.vehcilename))))</f>
        <v>Not Found</v>
      </c>
      <c r="U130" s="24" t="str">
        <f>_xlfn.LET(_xlpm.vserdate,_xlfn.XLOOKUP(A130,'Data Set 2 - Vehicles'!$A$2:$A$158,'Data Set 2 - Vehicles'!$O$2:$O$158,"NF",0,-1), IF(OR('Data Set 1'!S130="Has No Vehicle",'Data Set 1'!S130="Has Only One Vehicle"),'Data Set 1'!S130,_xlpm.vserdate))</f>
        <v>NF</v>
      </c>
      <c r="V130" s="1">
        <f>SUMIF('Data Set 2 - Vehicles'!$A$2:$A$158,'Data Set 1'!A130,'Data Set 2 - Vehicles'!$Q$2:$Q$158)</f>
        <v>0</v>
      </c>
      <c r="W130" s="5" t="str">
        <f>_xlfn.LET(_xlpm.maxdate,_xlfn.MAXIFS('Data Set 2 - Vehicles'!$O$2:$O$158,'Data Set 2 - Vehicles'!$A$2:$A$158,'Data Set 1'!A130),IF(_xlpm.maxdate=0,"",_xlpm.maxdate))</f>
        <v/>
      </c>
      <c r="X130" s="1" t="str">
        <f t="shared" ca="1" si="7"/>
        <v>No Service Record</v>
      </c>
      <c r="Y13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Customer has No Car</v>
      </c>
    </row>
    <row r="131" spans="1:25" ht="12.75" x14ac:dyDescent="0.35">
      <c r="A131" s="17">
        <v>1083</v>
      </c>
      <c r="B131" s="1"/>
      <c r="C131" s="1"/>
      <c r="D131" s="7" t="s">
        <v>1012</v>
      </c>
      <c r="E131" s="1" t="s">
        <v>1013</v>
      </c>
      <c r="F131" s="1" t="s">
        <v>800</v>
      </c>
      <c r="G131" s="11" t="s">
        <v>787</v>
      </c>
      <c r="H131" s="11">
        <v>32254</v>
      </c>
      <c r="I131" s="1" t="str">
        <f t="shared" si="4"/>
        <v xml:space="preserve"> </v>
      </c>
      <c r="J131" s="1" t="str">
        <f t="shared" si="5"/>
        <v>Smc Inc</v>
      </c>
      <c r="K131" s="1" t="str">
        <f t="shared" si="6"/>
        <v>11279</v>
      </c>
      <c r="L131" s="1" t="str">
        <f>VLOOKUP(A131,'Data Set 3 - Contacts'!$A$2:$F$136,5,FALSE)</f>
        <v>9047754480</v>
      </c>
      <c r="M131" s="1" t="str">
        <f>VLOOKUP(A131,'Data Set 3 - Contacts'!$A$2:$F$136,6,FALSE)</f>
        <v>9045149918</v>
      </c>
      <c r="N131" s="1" t="str">
        <f>VLOOKUP(A131,'Data Set 3 - Contacts'!$A$2:$F$136,4,FALSE)</f>
        <v>ahoneywell@honeywell.com</v>
      </c>
      <c r="O131" s="1">
        <f>_xlfn.XLOOKUP(A131,'Data Set 2 - Vehicles'!$A$2:$A$158,'Data Set 2 - Vehicles'!$B$2:$B$158,0,0,-1)</f>
        <v>2</v>
      </c>
      <c r="P131" s="1" t="str">
        <f>_xlfn.XLOOKUP(A131,'Data Set 2 - Vehicles'!$A$2:$A$158,'Data Set 2 - Vehicles'!$E$2:$E$158,"Not Found",0,1)</f>
        <v>V70</v>
      </c>
      <c r="Q131" s="1" t="str">
        <f>IF(_xlfn.CONCAT(_xlfn.XLOOKUP(A131,'Data Set 2 - Vehicles'!$A$2:$A$158,'Data Set 2 - Vehicles'!$D$2:$D$158,"Not Found",0,1)," ",_xlfn.XLOOKUP(A131,'Data Set 2 - Vehicles'!$A$2:$A$158,'Data Set 2 - Vehicles'!$E$2:$E$158,"Not Found",0,1))="Not Found Not Found", "Not Found",_xlfn.CONCAT(_xlfn.XLOOKUP(A131,'Data Set 2 - Vehicles'!$A$2:$A$158,'Data Set 2 - Vehicles'!$D$2:$D$158,"Not Found",0,1)," ",_xlfn.XLOOKUP(A131,'Data Set 2 - Vehicles'!$A$2:$A$158,'Data Set 2 - Vehicles'!$E$2:$E$158,"Not Found",0,1)))</f>
        <v>Volvo V70</v>
      </c>
      <c r="R131" s="5">
        <f>_xlfn.XLOOKUP(A131,'Data Set 2 - Vehicles'!$A$2:$A$158,'Data Set 2 - Vehicles'!$O$2:$O$158,"",0,1)</f>
        <v>39624</v>
      </c>
      <c r="S131" s="1" t="str">
        <f>IF(_xlfn.XLOOKUP(A131,'Data Set 2 - Vehicles'!$A$2:$A$158,'Data Set 2 - Vehicles'!$E$2:$E$158,"Has No Vehicle",0,-1)=P131,"Has Only One Vehicle",_xlfn.XLOOKUP(A131,'Data Set 2 - Vehicles'!$A$2:$A$158,'Data Set 2 - Vehicles'!$E$2:$E$158,"Has No Vehcile",0,-1))</f>
        <v>SC</v>
      </c>
      <c r="T131" s="1" t="str">
        <f>_xlfn.LET(_xlpm.mfcname,_xlfn.XLOOKUP(A131,'Data Set 2 - Vehicles'!$A$2:$A$158,'Data Set 2 - Vehicles'!$D$2:$D$158,"NF",0,-1),_xlpm.mdlname,_xlfn.XLOOKUP(A131,'Data Set 2 - Vehicles'!$A$2:$A$158,'Data Set 2 - Vehicles'!$E$2:$E$158,"NF",0,-1),_xlpm.vehcilename,_xlfn.CONCAT(_xlpm.mfcname," ",_xlpm.mdlname),IF(S131="Has No Vehicle","Has No Vehicle",IF(S131="Has Only One Vehicle","Has Only One Vehicle",IF(_xlpm.vehcilename="NF NF","Not Found",_xlpm.vehcilename))))</f>
        <v>Saturn SC</v>
      </c>
      <c r="U131" s="24">
        <f>_xlfn.LET(_xlpm.vserdate,_xlfn.XLOOKUP(A131,'Data Set 2 - Vehicles'!$A$2:$A$158,'Data Set 2 - Vehicles'!$O$2:$O$158,"NF",0,-1), IF(OR('Data Set 1'!S131="Has No Vehicle",'Data Set 1'!S131="Has Only One Vehicle"),'Data Set 1'!S131,_xlpm.vserdate))</f>
        <v>45732</v>
      </c>
      <c r="V131" s="1">
        <f>SUMIF('Data Set 2 - Vehicles'!$A$2:$A$158,'Data Set 1'!A131,'Data Set 2 - Vehicles'!$Q$2:$Q$158)</f>
        <v>336442</v>
      </c>
      <c r="W131" s="5">
        <f>_xlfn.LET(_xlpm.maxdate,_xlfn.MAXIFS('Data Set 2 - Vehicles'!$O$2:$O$158,'Data Set 2 - Vehicles'!$A$2:$A$158,'Data Set 1'!A131),IF(_xlpm.maxdate=0,"",_xlpm.maxdate))</f>
        <v>45732</v>
      </c>
      <c r="X131" s="1" t="str">
        <f t="shared" ca="1" si="7"/>
        <v>Active</v>
      </c>
      <c r="Y13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32" spans="1:25" ht="12.75" x14ac:dyDescent="0.35">
      <c r="A132" s="17">
        <v>1381</v>
      </c>
      <c r="B132" s="1" t="s">
        <v>1015</v>
      </c>
      <c r="C132" s="1" t="s">
        <v>1016</v>
      </c>
      <c r="D132" s="7"/>
      <c r="E132" s="1" t="s">
        <v>1017</v>
      </c>
      <c r="F132" s="1" t="s">
        <v>674</v>
      </c>
      <c r="G132" s="11" t="s">
        <v>392</v>
      </c>
      <c r="H132" s="11">
        <v>60624</v>
      </c>
      <c r="I132" s="1" t="str">
        <f t="shared" si="4"/>
        <v>Erick Nievas</v>
      </c>
      <c r="J132" s="1" t="str">
        <f t="shared" si="5"/>
        <v>Erick Nievas</v>
      </c>
      <c r="K132" s="1" t="str">
        <f t="shared" si="6"/>
        <v>45</v>
      </c>
      <c r="L132" s="1" t="str">
        <f>VLOOKUP(A132,'Data Set 3 - Contacts'!$A$2:$F$136,5,FALSE)</f>
        <v>7737049903</v>
      </c>
      <c r="M132" s="1" t="str">
        <f>VLOOKUP(A132,'Data Set 3 - Contacts'!$A$2:$F$136,6,FALSE)</f>
        <v>7733596109</v>
      </c>
      <c r="N132" s="1" t="str">
        <f>VLOOKUP(A132,'Data Set 3 - Contacts'!$A$2:$F$136,4,FALSE)</f>
        <v>erick_nievas@aol.com</v>
      </c>
      <c r="O132" s="1">
        <f>_xlfn.XLOOKUP(A132,'Data Set 2 - Vehicles'!$A$2:$A$158,'Data Set 2 - Vehicles'!$B$2:$B$158,0,0,-1)</f>
        <v>1</v>
      </c>
      <c r="P132" s="1" t="str">
        <f>_xlfn.XLOOKUP(A132,'Data Set 2 - Vehicles'!$A$2:$A$158,'Data Set 2 - Vehicles'!$E$2:$E$158,"Not Found",0,1)</f>
        <v>Eclipse</v>
      </c>
      <c r="Q132" s="1" t="str">
        <f>IF(_xlfn.CONCAT(_xlfn.XLOOKUP(A132,'Data Set 2 - Vehicles'!$A$2:$A$158,'Data Set 2 - Vehicles'!$D$2:$D$158,"Not Found",0,1)," ",_xlfn.XLOOKUP(A132,'Data Set 2 - Vehicles'!$A$2:$A$158,'Data Set 2 - Vehicles'!$E$2:$E$158,"Not Found",0,1))="Not Found Not Found", "Not Found",_xlfn.CONCAT(_xlfn.XLOOKUP(A132,'Data Set 2 - Vehicles'!$A$2:$A$158,'Data Set 2 - Vehicles'!$D$2:$D$158,"Not Found",0,1)," ",_xlfn.XLOOKUP(A132,'Data Set 2 - Vehicles'!$A$2:$A$158,'Data Set 2 - Vehicles'!$E$2:$E$158,"Not Found",0,1)))</f>
        <v>Mitsubishi Eclipse</v>
      </c>
      <c r="R132" s="5">
        <f>_xlfn.XLOOKUP(A132,'Data Set 2 - Vehicles'!$A$2:$A$158,'Data Set 2 - Vehicles'!$O$2:$O$158,"",0,1)</f>
        <v>41237</v>
      </c>
      <c r="S132" s="1" t="str">
        <f>IF(_xlfn.XLOOKUP(A132,'Data Set 2 - Vehicles'!$A$2:$A$158,'Data Set 2 - Vehicles'!$E$2:$E$158,"Has No Vehicle",0,-1)=P132,"Has Only One Vehicle",_xlfn.XLOOKUP(A132,'Data Set 2 - Vehicles'!$A$2:$A$158,'Data Set 2 - Vehicles'!$E$2:$E$158,"Has No Vehcile",0,-1))</f>
        <v>Has Only One Vehicle</v>
      </c>
      <c r="T132" s="1" t="str">
        <f>_xlfn.LET(_xlpm.mfcname,_xlfn.XLOOKUP(A132,'Data Set 2 - Vehicles'!$A$2:$A$158,'Data Set 2 - Vehicles'!$D$2:$D$158,"NF",0,-1),_xlpm.mdlname,_xlfn.XLOOKUP(A132,'Data Set 2 - Vehicles'!$A$2:$A$158,'Data Set 2 - Vehicles'!$E$2:$E$158,"NF",0,-1),_xlpm.vehcilename,_xlfn.CONCAT(_xlpm.mfcname," ",_xlpm.mdlname),IF(S132="Has No Vehicle","Has No Vehicle",IF(S132="Has Only One Vehicle","Has Only One Vehicle",IF(_xlpm.vehcilename="NF NF","Not Found",_xlpm.vehcilename))))</f>
        <v>Has Only One Vehicle</v>
      </c>
      <c r="U132" s="24" t="str">
        <f>_xlfn.LET(_xlpm.vserdate,_xlfn.XLOOKUP(A132,'Data Set 2 - Vehicles'!$A$2:$A$158,'Data Set 2 - Vehicles'!$O$2:$O$158,"NF",0,-1), IF(OR('Data Set 1'!S132="Has No Vehicle",'Data Set 1'!S132="Has Only One Vehicle"),'Data Set 1'!S132,_xlpm.vserdate))</f>
        <v>Has Only One Vehicle</v>
      </c>
      <c r="V132" s="1">
        <f>SUMIF('Data Set 2 - Vehicles'!$A$2:$A$158,'Data Set 1'!A132,'Data Set 2 - Vehicles'!$Q$2:$Q$158)</f>
        <v>70769</v>
      </c>
      <c r="W132" s="5">
        <f>_xlfn.LET(_xlpm.maxdate,_xlfn.MAXIFS('Data Set 2 - Vehicles'!$O$2:$O$158,'Data Set 2 - Vehicles'!$A$2:$A$158,'Data Set 1'!A132),IF(_xlpm.maxdate=0,"",_xlpm.maxdate))</f>
        <v>41237</v>
      </c>
      <c r="X132" s="1" t="str">
        <f t="shared" ca="1" si="7"/>
        <v>InActive</v>
      </c>
      <c r="Y13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133" spans="1:25" ht="12.75" x14ac:dyDescent="0.35">
      <c r="A133" s="15">
        <v>1369</v>
      </c>
      <c r="B133" s="1"/>
      <c r="C133" s="1"/>
      <c r="D133" s="7" t="s">
        <v>1019</v>
      </c>
      <c r="E133" s="1" t="s">
        <v>1020</v>
      </c>
      <c r="F133" s="1" t="s">
        <v>623</v>
      </c>
      <c r="G133" s="11" t="s">
        <v>624</v>
      </c>
      <c r="H133" s="11">
        <v>55337</v>
      </c>
      <c r="I133" s="1" t="str">
        <f t="shared" si="4"/>
        <v xml:space="preserve"> </v>
      </c>
      <c r="J133" s="1" t="str">
        <f t="shared" si="5"/>
        <v>Spoor Behrins Campbell &amp; Young</v>
      </c>
      <c r="K133" s="1" t="str">
        <f t="shared" si="6"/>
        <v>7061</v>
      </c>
      <c r="L133" s="1" t="str">
        <f>VLOOKUP(A133,'Data Set 3 - Contacts'!$A$2:$F$136,5,FALSE)</f>
        <v>9527027993</v>
      </c>
      <c r="M133" s="1" t="str">
        <f>VLOOKUP(A133,'Data Set 3 - Contacts'!$A$2:$F$136,6,FALSE)</f>
        <v/>
      </c>
      <c r="N133" s="1" t="str">
        <f>VLOOKUP(A133,'Data Set 3 - Contacts'!$A$2:$F$136,4,FALSE)</f>
        <v>qbirkner@aol.com</v>
      </c>
      <c r="O133" s="1">
        <f>_xlfn.XLOOKUP(A133,'Data Set 2 - Vehicles'!$A$2:$A$158,'Data Set 2 - Vehicles'!$B$2:$B$158,0,0,-1)</f>
        <v>1</v>
      </c>
      <c r="P133" s="1" t="str">
        <f>_xlfn.XLOOKUP(A133,'Data Set 2 - Vehicles'!$A$2:$A$158,'Data Set 2 - Vehicles'!$E$2:$E$158,"Not Found",0,1)</f>
        <v>Sentra</v>
      </c>
      <c r="Q133" s="1" t="str">
        <f>IF(_xlfn.CONCAT(_xlfn.XLOOKUP(A133,'Data Set 2 - Vehicles'!$A$2:$A$158,'Data Set 2 - Vehicles'!$D$2:$D$158,"Not Found",0,1)," ",_xlfn.XLOOKUP(A133,'Data Set 2 - Vehicles'!$A$2:$A$158,'Data Set 2 - Vehicles'!$E$2:$E$158,"Not Found",0,1))="Not Found Not Found", "Not Found",_xlfn.CONCAT(_xlfn.XLOOKUP(A133,'Data Set 2 - Vehicles'!$A$2:$A$158,'Data Set 2 - Vehicles'!$D$2:$D$158,"Not Found",0,1)," ",_xlfn.XLOOKUP(A133,'Data Set 2 - Vehicles'!$A$2:$A$158,'Data Set 2 - Vehicles'!$E$2:$E$158,"Not Found",0,1)))</f>
        <v>Nissan Sentra</v>
      </c>
      <c r="R133" s="5">
        <f>_xlfn.XLOOKUP(A133,'Data Set 2 - Vehicles'!$A$2:$A$158,'Data Set 2 - Vehicles'!$O$2:$O$158,"",0,1)</f>
        <v>45169</v>
      </c>
      <c r="S133" s="1" t="str">
        <f>IF(_xlfn.XLOOKUP(A133,'Data Set 2 - Vehicles'!$A$2:$A$158,'Data Set 2 - Vehicles'!$E$2:$E$158,"Has No Vehicle",0,-1)=P133,"Has Only One Vehicle",_xlfn.XLOOKUP(A133,'Data Set 2 - Vehicles'!$A$2:$A$158,'Data Set 2 - Vehicles'!$E$2:$E$158,"Has No Vehcile",0,-1))</f>
        <v>Has Only One Vehicle</v>
      </c>
      <c r="T133" s="1" t="str">
        <f>_xlfn.LET(_xlpm.mfcname,_xlfn.XLOOKUP(A133,'Data Set 2 - Vehicles'!$A$2:$A$158,'Data Set 2 - Vehicles'!$D$2:$D$158,"NF",0,-1),_xlpm.mdlname,_xlfn.XLOOKUP(A133,'Data Set 2 - Vehicles'!$A$2:$A$158,'Data Set 2 - Vehicles'!$E$2:$E$158,"NF",0,-1),_xlpm.vehcilename,_xlfn.CONCAT(_xlpm.mfcname," ",_xlpm.mdlname),IF(S133="Has No Vehicle","Has No Vehicle",IF(S133="Has Only One Vehicle","Has Only One Vehicle",IF(_xlpm.vehcilename="NF NF","Not Found",_xlpm.vehcilename))))</f>
        <v>Has Only One Vehicle</v>
      </c>
      <c r="U133" s="24" t="str">
        <f>_xlfn.LET(_xlpm.vserdate,_xlfn.XLOOKUP(A133,'Data Set 2 - Vehicles'!$A$2:$A$158,'Data Set 2 - Vehicles'!$O$2:$O$158,"NF",0,-1), IF(OR('Data Set 1'!S133="Has No Vehicle",'Data Set 1'!S133="Has Only One Vehicle"),'Data Set 1'!S133,_xlpm.vserdate))</f>
        <v>Has Only One Vehicle</v>
      </c>
      <c r="V133" s="1">
        <f>SUMIF('Data Set 2 - Vehicles'!$A$2:$A$158,'Data Set 1'!A133,'Data Set 2 - Vehicles'!$Q$2:$Q$158)</f>
        <v>155451</v>
      </c>
      <c r="W133" s="5">
        <f>_xlfn.LET(_xlpm.maxdate,_xlfn.MAXIFS('Data Set 2 - Vehicles'!$O$2:$O$158,'Data Set 2 - Vehicles'!$A$2:$A$158,'Data Set 1'!A133),IF(_xlpm.maxdate=0,"",_xlpm.maxdate))</f>
        <v>45169</v>
      </c>
      <c r="X133" s="1" t="str">
        <f t="shared" ca="1" si="7"/>
        <v>Active</v>
      </c>
      <c r="Y13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34" spans="1:25" ht="12.75" x14ac:dyDescent="0.35">
      <c r="A134" s="15">
        <v>1021</v>
      </c>
      <c r="B134" s="1"/>
      <c r="C134" s="1"/>
      <c r="D134" s="7" t="s">
        <v>1022</v>
      </c>
      <c r="E134" s="1" t="s">
        <v>1023</v>
      </c>
      <c r="F134" s="1" t="s">
        <v>1024</v>
      </c>
      <c r="G134" s="11" t="s">
        <v>524</v>
      </c>
      <c r="H134" s="11">
        <v>19014</v>
      </c>
      <c r="I134" s="1" t="str">
        <f t="shared" si="4"/>
        <v xml:space="preserve"> </v>
      </c>
      <c r="J134" s="1" t="str">
        <f t="shared" si="5"/>
        <v>Sport En Art</v>
      </c>
      <c r="K134" s="1" t="str">
        <f t="shared" si="6"/>
        <v>6</v>
      </c>
      <c r="L134" s="1" t="str">
        <f>VLOOKUP(A134,'Data Set 3 - Contacts'!$A$2:$F$136,5,FALSE)</f>
        <v>6105453615</v>
      </c>
      <c r="M134" s="1" t="str">
        <f>VLOOKUP(A134,'Data Set 3 - Contacts'!$A$2:$F$136,6,FALSE)</f>
        <v/>
      </c>
      <c r="N134" s="1" t="str">
        <f>VLOOKUP(A134,'Data Set 3 - Contacts'!$A$2:$F$136,4,FALSE)</f>
        <v>bette_nicka@cox.net</v>
      </c>
      <c r="O134" s="1">
        <f>_xlfn.XLOOKUP(A134,'Data Set 2 - Vehicles'!$A$2:$A$158,'Data Set 2 - Vehicles'!$B$2:$B$158,0,0,-1)</f>
        <v>2</v>
      </c>
      <c r="P134" s="1" t="str">
        <f>_xlfn.XLOOKUP(A134,'Data Set 2 - Vehicles'!$A$2:$A$158,'Data Set 2 - Vehicles'!$E$2:$E$158,"Not Found",0,1)</f>
        <v>Sienna</v>
      </c>
      <c r="Q134" s="1" t="str">
        <f>IF(_xlfn.CONCAT(_xlfn.XLOOKUP(A134,'Data Set 2 - Vehicles'!$A$2:$A$158,'Data Set 2 - Vehicles'!$D$2:$D$158,"Not Found",0,1)," ",_xlfn.XLOOKUP(A134,'Data Set 2 - Vehicles'!$A$2:$A$158,'Data Set 2 - Vehicles'!$E$2:$E$158,"Not Found",0,1))="Not Found Not Found", "Not Found",_xlfn.CONCAT(_xlfn.XLOOKUP(A134,'Data Set 2 - Vehicles'!$A$2:$A$158,'Data Set 2 - Vehicles'!$D$2:$D$158,"Not Found",0,1)," ",_xlfn.XLOOKUP(A134,'Data Set 2 - Vehicles'!$A$2:$A$158,'Data Set 2 - Vehicles'!$E$2:$E$158,"Not Found",0,1)))</f>
        <v>Toyota Sienna</v>
      </c>
      <c r="R134" s="5">
        <f>_xlfn.XLOOKUP(A134,'Data Set 2 - Vehicles'!$A$2:$A$158,'Data Set 2 - Vehicles'!$O$2:$O$158,"",0,1)</f>
        <v>40821</v>
      </c>
      <c r="S134" s="1" t="str">
        <f>IF(_xlfn.XLOOKUP(A134,'Data Set 2 - Vehicles'!$A$2:$A$158,'Data Set 2 - Vehicles'!$E$2:$E$158,"Has No Vehicle",0,-1)=P134,"Has Only One Vehicle",_xlfn.XLOOKUP(A134,'Data Set 2 - Vehicles'!$A$2:$A$158,'Data Set 2 - Vehicles'!$E$2:$E$158,"Has No Vehcile",0,-1))</f>
        <v>Prowler</v>
      </c>
      <c r="T134" s="1" t="str">
        <f>_xlfn.LET(_xlpm.mfcname,_xlfn.XLOOKUP(A134,'Data Set 2 - Vehicles'!$A$2:$A$158,'Data Set 2 - Vehicles'!$D$2:$D$158,"NF",0,-1),_xlpm.mdlname,_xlfn.XLOOKUP(A134,'Data Set 2 - Vehicles'!$A$2:$A$158,'Data Set 2 - Vehicles'!$E$2:$E$158,"NF",0,-1),_xlpm.vehcilename,_xlfn.CONCAT(_xlpm.mfcname," ",_xlpm.mdlname),IF(S134="Has No Vehicle","Has No Vehicle",IF(S134="Has Only One Vehicle","Has Only One Vehicle",IF(_xlpm.vehcilename="NF NF","Not Found",_xlpm.vehcilename))))</f>
        <v>Plymouth Prowler</v>
      </c>
      <c r="U134" s="24">
        <f>_xlfn.LET(_xlpm.vserdate,_xlfn.XLOOKUP(A134,'Data Set 2 - Vehicles'!$A$2:$A$158,'Data Set 2 - Vehicles'!$O$2:$O$158,"NF",0,-1), IF(OR('Data Set 1'!S134="Has No Vehicle",'Data Set 1'!S134="Has Only One Vehicle"),'Data Set 1'!S134,_xlpm.vserdate))</f>
        <v>42913</v>
      </c>
      <c r="V134" s="1">
        <f>SUMIF('Data Set 2 - Vehicles'!$A$2:$A$158,'Data Set 1'!A134,'Data Set 2 - Vehicles'!$Q$2:$Q$158)</f>
        <v>557400</v>
      </c>
      <c r="W134" s="5">
        <f>_xlfn.LET(_xlpm.maxdate,_xlfn.MAXIFS('Data Set 2 - Vehicles'!$O$2:$O$158,'Data Set 2 - Vehicles'!$A$2:$A$158,'Data Set 1'!A134),IF(_xlpm.maxdate=0,"",_xlpm.maxdate))</f>
        <v>42913</v>
      </c>
      <c r="X134" s="1" t="str">
        <f t="shared" ca="1" si="7"/>
        <v>InActive</v>
      </c>
      <c r="Y13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35" spans="1:25" ht="12.75" x14ac:dyDescent="0.35">
      <c r="A135" s="15">
        <v>1096</v>
      </c>
      <c r="B135" s="1" t="s">
        <v>1026</v>
      </c>
      <c r="C135" s="1" t="s">
        <v>1027</v>
      </c>
      <c r="D135" s="7" t="s">
        <v>1028</v>
      </c>
      <c r="E135" s="1" t="s">
        <v>1029</v>
      </c>
      <c r="F135" s="1" t="s">
        <v>922</v>
      </c>
      <c r="G135" s="11" t="s">
        <v>435</v>
      </c>
      <c r="H135" s="11">
        <v>94577</v>
      </c>
      <c r="I135" s="1" t="str">
        <f t="shared" si="4"/>
        <v>Carma Vanheusen</v>
      </c>
      <c r="J135" s="1" t="str">
        <f t="shared" si="5"/>
        <v>Carma Vanheusen</v>
      </c>
      <c r="K135" s="1" t="str">
        <f t="shared" si="6"/>
        <v>68556</v>
      </c>
      <c r="L135" s="1" t="str">
        <f>VLOOKUP(A135,'Data Set 3 - Contacts'!$A$2:$F$136,5,FALSE)</f>
        <v>5105037169</v>
      </c>
      <c r="M135" s="1" t="str">
        <f>VLOOKUP(A135,'Data Set 3 - Contacts'!$A$2:$F$136,6,FALSE)</f>
        <v/>
      </c>
      <c r="N135" s="1" t="str">
        <f>VLOOKUP(A135,'Data Set 3 - Contacts'!$A$2:$F$136,4,FALSE)</f>
        <v>carma@cox.net</v>
      </c>
      <c r="O135" s="1">
        <f>_xlfn.XLOOKUP(A135,'Data Set 2 - Vehicles'!$A$2:$A$158,'Data Set 2 - Vehicles'!$B$2:$B$158,0,0,-1)</f>
        <v>2</v>
      </c>
      <c r="P135" s="1" t="str">
        <f>_xlfn.XLOOKUP(A135,'Data Set 2 - Vehicles'!$A$2:$A$158,'Data Set 2 - Vehicles'!$E$2:$E$158,"Not Found",0,1)</f>
        <v>A4</v>
      </c>
      <c r="Q135" s="1" t="str">
        <f>IF(_xlfn.CONCAT(_xlfn.XLOOKUP(A135,'Data Set 2 - Vehicles'!$A$2:$A$158,'Data Set 2 - Vehicles'!$D$2:$D$158,"Not Found",0,1)," ",_xlfn.XLOOKUP(A135,'Data Set 2 - Vehicles'!$A$2:$A$158,'Data Set 2 - Vehicles'!$E$2:$E$158,"Not Found",0,1))="Not Found Not Found", "Not Found",_xlfn.CONCAT(_xlfn.XLOOKUP(A135,'Data Set 2 - Vehicles'!$A$2:$A$158,'Data Set 2 - Vehicles'!$D$2:$D$158,"Not Found",0,1)," ",_xlfn.XLOOKUP(A135,'Data Set 2 - Vehicles'!$A$2:$A$158,'Data Set 2 - Vehicles'!$E$2:$E$158,"Not Found",0,1)))</f>
        <v>Audi A4</v>
      </c>
      <c r="R135" s="5">
        <f>_xlfn.XLOOKUP(A135,'Data Set 2 - Vehicles'!$A$2:$A$158,'Data Set 2 - Vehicles'!$O$2:$O$158,"",0,1)</f>
        <v>39363</v>
      </c>
      <c r="S135" s="1" t="str">
        <f>IF(_xlfn.XLOOKUP(A135,'Data Set 2 - Vehicles'!$A$2:$A$158,'Data Set 2 - Vehicles'!$E$2:$E$158,"Has No Vehicle",0,-1)=P135,"Has Only One Vehicle",_xlfn.XLOOKUP(A135,'Data Set 2 - Vehicles'!$A$2:$A$158,'Data Set 2 - Vehicles'!$E$2:$E$158,"Has No Vehcile",0,-1))</f>
        <v>Contour</v>
      </c>
      <c r="T135" s="1" t="str">
        <f>_xlfn.LET(_xlpm.mfcname,_xlfn.XLOOKUP(A135,'Data Set 2 - Vehicles'!$A$2:$A$158,'Data Set 2 - Vehicles'!$D$2:$D$158,"NF",0,-1),_xlpm.mdlname,_xlfn.XLOOKUP(A135,'Data Set 2 - Vehicles'!$A$2:$A$158,'Data Set 2 - Vehicles'!$E$2:$E$158,"NF",0,-1),_xlpm.vehcilename,_xlfn.CONCAT(_xlpm.mfcname," ",_xlpm.mdlname),IF(S135="Has No Vehicle","Has No Vehicle",IF(S135="Has Only One Vehicle","Has Only One Vehicle",IF(_xlpm.vehcilename="NF NF","Not Found",_xlpm.vehcilename))))</f>
        <v>Ford Contour</v>
      </c>
      <c r="U135" s="24">
        <f>_xlfn.LET(_xlpm.vserdate,_xlfn.XLOOKUP(A135,'Data Set 2 - Vehicles'!$A$2:$A$158,'Data Set 2 - Vehicles'!$O$2:$O$158,"NF",0,-1), IF(OR('Data Set 1'!S135="Has No Vehicle",'Data Set 1'!S135="Has Only One Vehicle"),'Data Set 1'!S135,_xlpm.vserdate))</f>
        <v>41871</v>
      </c>
      <c r="V135" s="1">
        <f>SUMIF('Data Set 2 - Vehicles'!$A$2:$A$158,'Data Set 1'!A135,'Data Set 2 - Vehicles'!$Q$2:$Q$158)</f>
        <v>429848</v>
      </c>
      <c r="W135" s="5">
        <f>_xlfn.LET(_xlpm.maxdate,_xlfn.MAXIFS('Data Set 2 - Vehicles'!$O$2:$O$158,'Data Set 2 - Vehicles'!$A$2:$A$158,'Data Set 1'!A135),IF(_xlpm.maxdate=0,"",_xlpm.maxdate))</f>
        <v>41871</v>
      </c>
      <c r="X135" s="1" t="str">
        <f t="shared" ca="1" si="7"/>
        <v>InActive</v>
      </c>
      <c r="Y13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36" spans="1:25" ht="12.75" x14ac:dyDescent="0.35">
      <c r="A136" s="15">
        <v>1479</v>
      </c>
      <c r="B136" s="1" t="s">
        <v>1031</v>
      </c>
      <c r="C136" s="1" t="s">
        <v>1032</v>
      </c>
      <c r="D136" s="7"/>
      <c r="E136" s="1" t="s">
        <v>1033</v>
      </c>
      <c r="F136" s="1" t="s">
        <v>664</v>
      </c>
      <c r="G136" s="11" t="s">
        <v>419</v>
      </c>
      <c r="H136" s="11">
        <v>8003</v>
      </c>
      <c r="I136" s="1" t="str">
        <f t="shared" si="4"/>
        <v>Alpha Palaia</v>
      </c>
      <c r="J136" s="1" t="str">
        <f t="shared" si="5"/>
        <v>Alpha Palaia</v>
      </c>
      <c r="K136" s="1" t="str">
        <f t="shared" si="6"/>
        <v>43496</v>
      </c>
      <c r="L136" s="1" t="str">
        <f>VLOOKUP(A136,'Data Set 3 - Contacts'!$A$2:$F$136,5,FALSE)</f>
        <v>8563122629</v>
      </c>
      <c r="M136" s="1" t="str">
        <f>VLOOKUP(A136,'Data Set 3 - Contacts'!$A$2:$F$136,6,FALSE)</f>
        <v>8565137024</v>
      </c>
      <c r="N136" s="1" t="str">
        <f>VLOOKUP(A136,'Data Set 3 - Contacts'!$A$2:$F$136,4,FALSE)</f>
        <v>alpha@yahoo.com</v>
      </c>
      <c r="O136" s="1">
        <f>_xlfn.XLOOKUP(A136,'Data Set 2 - Vehicles'!$A$2:$A$158,'Data Set 2 - Vehicles'!$B$2:$B$158,0,0,-1)</f>
        <v>1</v>
      </c>
      <c r="P136" s="1" t="str">
        <f>_xlfn.XLOOKUP(A136,'Data Set 2 - Vehicles'!$A$2:$A$158,'Data Set 2 - Vehicles'!$E$2:$E$158,"Not Found",0,1)</f>
        <v>Odyssey</v>
      </c>
      <c r="Q136" s="1" t="str">
        <f>IF(_xlfn.CONCAT(_xlfn.XLOOKUP(A136,'Data Set 2 - Vehicles'!$A$2:$A$158,'Data Set 2 - Vehicles'!$D$2:$D$158,"Not Found",0,1)," ",_xlfn.XLOOKUP(A136,'Data Set 2 - Vehicles'!$A$2:$A$158,'Data Set 2 - Vehicles'!$E$2:$E$158,"Not Found",0,1))="Not Found Not Found", "Not Found",_xlfn.CONCAT(_xlfn.XLOOKUP(A136,'Data Set 2 - Vehicles'!$A$2:$A$158,'Data Set 2 - Vehicles'!$D$2:$D$158,"Not Found",0,1)," ",_xlfn.XLOOKUP(A136,'Data Set 2 - Vehicles'!$A$2:$A$158,'Data Set 2 - Vehicles'!$E$2:$E$158,"Not Found",0,1)))</f>
        <v>Honda Odyssey</v>
      </c>
      <c r="R136" s="5">
        <f>_xlfn.XLOOKUP(A136,'Data Set 2 - Vehicles'!$A$2:$A$158,'Data Set 2 - Vehicles'!$O$2:$O$158,"",0,1)</f>
        <v>43504</v>
      </c>
      <c r="S136" s="1" t="str">
        <f>IF(_xlfn.XLOOKUP(A136,'Data Set 2 - Vehicles'!$A$2:$A$158,'Data Set 2 - Vehicles'!$E$2:$E$158,"Has No Vehicle",0,-1)=P136,"Has Only One Vehicle",_xlfn.XLOOKUP(A136,'Data Set 2 - Vehicles'!$A$2:$A$158,'Data Set 2 - Vehicles'!$E$2:$E$158,"Has No Vehcile",0,-1))</f>
        <v>Has Only One Vehicle</v>
      </c>
      <c r="T136" s="1" t="str">
        <f>_xlfn.LET(_xlpm.mfcname,_xlfn.XLOOKUP(A136,'Data Set 2 - Vehicles'!$A$2:$A$158,'Data Set 2 - Vehicles'!$D$2:$D$158,"NF",0,-1),_xlpm.mdlname,_xlfn.XLOOKUP(A136,'Data Set 2 - Vehicles'!$A$2:$A$158,'Data Set 2 - Vehicles'!$E$2:$E$158,"NF",0,-1),_xlpm.vehcilename,_xlfn.CONCAT(_xlpm.mfcname," ",_xlpm.mdlname),IF(S136="Has No Vehicle","Has No Vehicle",IF(S136="Has Only One Vehicle","Has Only One Vehicle",IF(_xlpm.vehcilename="NF NF","Not Found",_xlpm.vehcilename))))</f>
        <v>Has Only One Vehicle</v>
      </c>
      <c r="U136" s="24" t="str">
        <f>_xlfn.LET(_xlpm.vserdate,_xlfn.XLOOKUP(A136,'Data Set 2 - Vehicles'!$A$2:$A$158,'Data Set 2 - Vehicles'!$O$2:$O$158,"NF",0,-1), IF(OR('Data Set 1'!S136="Has No Vehicle",'Data Set 1'!S136="Has Only One Vehicle"),'Data Set 1'!S136,_xlpm.vserdate))</f>
        <v>Has Only One Vehicle</v>
      </c>
      <c r="V136" s="1">
        <f>SUMIF('Data Set 2 - Vehicles'!$A$2:$A$158,'Data Set 1'!A136,'Data Set 2 - Vehicles'!$Q$2:$Q$158)</f>
        <v>288152</v>
      </c>
      <c r="W136" s="5">
        <f>_xlfn.LET(_xlpm.maxdate,_xlfn.MAXIFS('Data Set 2 - Vehicles'!$O$2:$O$158,'Data Set 2 - Vehicles'!$A$2:$A$158,'Data Set 1'!A136),IF(_xlpm.maxdate=0,"",_xlpm.maxdate))</f>
        <v>43504</v>
      </c>
      <c r="X136" s="1" t="str">
        <f t="shared" ca="1" si="7"/>
        <v>InActive</v>
      </c>
      <c r="Y13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37" spans="1:25" ht="12.75" x14ac:dyDescent="0.35">
      <c r="A137" s="15">
        <v>1383</v>
      </c>
      <c r="B137" s="1" t="s">
        <v>1034</v>
      </c>
      <c r="C137" s="1" t="s">
        <v>1035</v>
      </c>
      <c r="D137" s="7" t="s">
        <v>1036</v>
      </c>
      <c r="E137" s="1" t="s">
        <v>1038</v>
      </c>
      <c r="F137" s="1" t="s">
        <v>1039</v>
      </c>
      <c r="G137" s="11" t="s">
        <v>435</v>
      </c>
      <c r="H137" s="11">
        <v>95965</v>
      </c>
      <c r="I137" s="1" t="str">
        <f t="shared" si="4"/>
        <v>Mitsue Scipione</v>
      </c>
      <c r="J137" s="1" t="str">
        <f t="shared" si="5"/>
        <v>Mitsue Scipione</v>
      </c>
      <c r="K137" s="1" t="str">
        <f t="shared" si="6"/>
        <v>77</v>
      </c>
      <c r="L137" s="1" t="str">
        <f>VLOOKUP(A137,'Data Set 3 - Contacts'!$A$2:$F$136,5,FALSE)</f>
        <v>5309869272</v>
      </c>
      <c r="M137" s="1" t="str">
        <f>VLOOKUP(A137,'Data Set 3 - Contacts'!$A$2:$F$136,6,FALSE)</f>
        <v/>
      </c>
      <c r="N137" s="1" t="str">
        <f>VLOOKUP(A137,'Data Set 3 - Contacts'!$A$2:$F$136,4,FALSE)</f>
        <v>mscipione@scipione.com</v>
      </c>
      <c r="O137" s="1">
        <f>_xlfn.XLOOKUP(A137,'Data Set 2 - Vehicles'!$A$2:$A$158,'Data Set 2 - Vehicles'!$B$2:$B$158,0,0,-1)</f>
        <v>1</v>
      </c>
      <c r="P137" s="1" t="str">
        <f>_xlfn.XLOOKUP(A137,'Data Set 2 - Vehicles'!$A$2:$A$158,'Data Set 2 - Vehicles'!$E$2:$E$158,"Not Found",0,1)</f>
        <v>Passport</v>
      </c>
      <c r="Q137" s="1" t="str">
        <f>IF(_xlfn.CONCAT(_xlfn.XLOOKUP(A137,'Data Set 2 - Vehicles'!$A$2:$A$158,'Data Set 2 - Vehicles'!$D$2:$D$158,"Not Found",0,1)," ",_xlfn.XLOOKUP(A137,'Data Set 2 - Vehicles'!$A$2:$A$158,'Data Set 2 - Vehicles'!$E$2:$E$158,"Not Found",0,1))="Not Found Not Found", "Not Found",_xlfn.CONCAT(_xlfn.XLOOKUP(A137,'Data Set 2 - Vehicles'!$A$2:$A$158,'Data Set 2 - Vehicles'!$D$2:$D$158,"Not Found",0,1)," ",_xlfn.XLOOKUP(A137,'Data Set 2 - Vehicles'!$A$2:$A$158,'Data Set 2 - Vehicles'!$E$2:$E$158,"Not Found",0,1)))</f>
        <v>Honda Passport</v>
      </c>
      <c r="R137" s="5">
        <f>_xlfn.XLOOKUP(A137,'Data Set 2 - Vehicles'!$A$2:$A$158,'Data Set 2 - Vehicles'!$O$2:$O$158,"",0,1)</f>
        <v>42652</v>
      </c>
      <c r="S137" s="1" t="str">
        <f>IF(_xlfn.XLOOKUP(A137,'Data Set 2 - Vehicles'!$A$2:$A$158,'Data Set 2 - Vehicles'!$E$2:$E$158,"Has No Vehicle",0,-1)=P137,"Has Only One Vehicle",_xlfn.XLOOKUP(A137,'Data Set 2 - Vehicles'!$A$2:$A$158,'Data Set 2 - Vehicles'!$E$2:$E$158,"Has No Vehcile",0,-1))</f>
        <v>Has Only One Vehicle</v>
      </c>
      <c r="T137" s="1" t="str">
        <f>_xlfn.LET(_xlpm.mfcname,_xlfn.XLOOKUP(A137,'Data Set 2 - Vehicles'!$A$2:$A$158,'Data Set 2 - Vehicles'!$D$2:$D$158,"NF",0,-1),_xlpm.mdlname,_xlfn.XLOOKUP(A137,'Data Set 2 - Vehicles'!$A$2:$A$158,'Data Set 2 - Vehicles'!$E$2:$E$158,"NF",0,-1),_xlpm.vehcilename,_xlfn.CONCAT(_xlpm.mfcname," ",_xlpm.mdlname),IF(S137="Has No Vehicle","Has No Vehicle",IF(S137="Has Only One Vehicle","Has Only One Vehicle",IF(_xlpm.vehcilename="NF NF","Not Found",_xlpm.vehcilename))))</f>
        <v>Has Only One Vehicle</v>
      </c>
      <c r="U137" s="24" t="str">
        <f>_xlfn.LET(_xlpm.vserdate,_xlfn.XLOOKUP(A137,'Data Set 2 - Vehicles'!$A$2:$A$158,'Data Set 2 - Vehicles'!$O$2:$O$158,"NF",0,-1), IF(OR('Data Set 1'!S137="Has No Vehicle",'Data Set 1'!S137="Has Only One Vehicle"),'Data Set 1'!S137,_xlpm.vserdate))</f>
        <v>Has Only One Vehicle</v>
      </c>
      <c r="V137" s="1">
        <f>SUMIF('Data Set 2 - Vehicles'!$A$2:$A$158,'Data Set 1'!A137,'Data Set 2 - Vehicles'!$Q$2:$Q$158)</f>
        <v>92162</v>
      </c>
      <c r="W137" s="5">
        <f>_xlfn.LET(_xlpm.maxdate,_xlfn.MAXIFS('Data Set 2 - Vehicles'!$O$2:$O$158,'Data Set 2 - Vehicles'!$A$2:$A$158,'Data Set 1'!A137),IF(_xlpm.maxdate=0,"",_xlpm.maxdate))</f>
        <v>42652</v>
      </c>
      <c r="X137" s="1" t="str">
        <f t="shared" ca="1" si="7"/>
        <v>InActive</v>
      </c>
      <c r="Y13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138" spans="1:25" ht="12.75" x14ac:dyDescent="0.35">
      <c r="A138" s="15">
        <v>1265</v>
      </c>
      <c r="B138" s="1"/>
      <c r="C138" s="1"/>
      <c r="D138" s="7" t="s">
        <v>1040</v>
      </c>
      <c r="E138" s="1" t="s">
        <v>1041</v>
      </c>
      <c r="F138" s="1" t="s">
        <v>446</v>
      </c>
      <c r="G138" s="11" t="s">
        <v>448</v>
      </c>
      <c r="H138" s="11">
        <v>80212</v>
      </c>
      <c r="I138" s="1" t="str">
        <f t="shared" si="4"/>
        <v xml:space="preserve"> </v>
      </c>
      <c r="J138" s="1" t="str">
        <f t="shared" si="5"/>
        <v>Super 8 Motel</v>
      </c>
      <c r="K138" s="1" t="str">
        <f t="shared" si="6"/>
        <v>669</v>
      </c>
      <c r="L138" s="1" t="str">
        <f>VLOOKUP(A138,'Data Set 3 - Contacts'!$A$2:$F$136,5,FALSE)</f>
        <v>3034042210</v>
      </c>
      <c r="M138" s="1" t="str">
        <f>VLOOKUP(A138,'Data Set 3 - Contacts'!$A$2:$F$136,6,FALSE)</f>
        <v/>
      </c>
      <c r="N138" s="1" t="str">
        <f>VLOOKUP(A138,'Data Set 3 - Contacts'!$A$2:$F$136,4,FALSE)</f>
        <v>pamella@fortino.com</v>
      </c>
      <c r="O138" s="1">
        <f>_xlfn.XLOOKUP(A138,'Data Set 2 - Vehicles'!$A$2:$A$158,'Data Set 2 - Vehicles'!$B$2:$B$158,0,0,-1)</f>
        <v>2</v>
      </c>
      <c r="P138" s="1" t="str">
        <f>_xlfn.XLOOKUP(A138,'Data Set 2 - Vehicles'!$A$2:$A$158,'Data Set 2 - Vehicles'!$E$2:$E$158,"Not Found",0,1)</f>
        <v>Firebird</v>
      </c>
      <c r="Q138" s="1" t="str">
        <f>IF(_xlfn.CONCAT(_xlfn.XLOOKUP(A138,'Data Set 2 - Vehicles'!$A$2:$A$158,'Data Set 2 - Vehicles'!$D$2:$D$158,"Not Found",0,1)," ",_xlfn.XLOOKUP(A138,'Data Set 2 - Vehicles'!$A$2:$A$158,'Data Set 2 - Vehicles'!$E$2:$E$158,"Not Found",0,1))="Not Found Not Found", "Not Found",_xlfn.CONCAT(_xlfn.XLOOKUP(A138,'Data Set 2 - Vehicles'!$A$2:$A$158,'Data Set 2 - Vehicles'!$D$2:$D$158,"Not Found",0,1)," ",_xlfn.XLOOKUP(A138,'Data Set 2 - Vehicles'!$A$2:$A$158,'Data Set 2 - Vehicles'!$E$2:$E$158,"Not Found",0,1)))</f>
        <v>Pontiac Firebird</v>
      </c>
      <c r="R138" s="5">
        <f>_xlfn.XLOOKUP(A138,'Data Set 2 - Vehicles'!$A$2:$A$158,'Data Set 2 - Vehicles'!$O$2:$O$158,"",0,1)</f>
        <v>39980</v>
      </c>
      <c r="S138" s="1" t="str">
        <f>IF(_xlfn.XLOOKUP(A138,'Data Set 2 - Vehicles'!$A$2:$A$158,'Data Set 2 - Vehicles'!$E$2:$E$158,"Has No Vehicle",0,-1)=P138,"Has Only One Vehicle",_xlfn.XLOOKUP(A138,'Data Set 2 - Vehicles'!$A$2:$A$158,'Data Set 2 - Vehicles'!$E$2:$E$158,"Has No Vehcile",0,-1))</f>
        <v>Land Cruiser</v>
      </c>
      <c r="T138" s="1" t="str">
        <f>_xlfn.LET(_xlpm.mfcname,_xlfn.XLOOKUP(A138,'Data Set 2 - Vehicles'!$A$2:$A$158,'Data Set 2 - Vehicles'!$D$2:$D$158,"NF",0,-1),_xlpm.mdlname,_xlfn.XLOOKUP(A138,'Data Set 2 - Vehicles'!$A$2:$A$158,'Data Set 2 - Vehicles'!$E$2:$E$158,"NF",0,-1),_xlpm.vehcilename,_xlfn.CONCAT(_xlpm.mfcname," ",_xlpm.mdlname),IF(S138="Has No Vehicle","Has No Vehicle",IF(S138="Has Only One Vehicle","Has Only One Vehicle",IF(_xlpm.vehcilename="NF NF","Not Found",_xlpm.vehcilename))))</f>
        <v>Toyota Land Cruiser</v>
      </c>
      <c r="U138" s="24">
        <f>_xlfn.LET(_xlpm.vserdate,_xlfn.XLOOKUP(A138,'Data Set 2 - Vehicles'!$A$2:$A$158,'Data Set 2 - Vehicles'!$O$2:$O$158,"NF",0,-1), IF(OR('Data Set 1'!S138="Has No Vehicle",'Data Set 1'!S138="Has Only One Vehicle"),'Data Set 1'!S138,_xlpm.vserdate))</f>
        <v>45925</v>
      </c>
      <c r="V138" s="1">
        <f>SUMIF('Data Set 2 - Vehicles'!$A$2:$A$158,'Data Set 1'!A138,'Data Set 2 - Vehicles'!$Q$2:$Q$158)</f>
        <v>412865</v>
      </c>
      <c r="W138" s="5">
        <f>_xlfn.LET(_xlpm.maxdate,_xlfn.MAXIFS('Data Set 2 - Vehicles'!$O$2:$O$158,'Data Set 2 - Vehicles'!$A$2:$A$158,'Data Set 1'!A138),IF(_xlpm.maxdate=0,"",_xlpm.maxdate))</f>
        <v>45925</v>
      </c>
      <c r="X138" s="1" t="str">
        <f t="shared" ca="1" si="7"/>
        <v>Active</v>
      </c>
      <c r="Y13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39" spans="1:25" ht="12.75" x14ac:dyDescent="0.35">
      <c r="A139" s="17">
        <v>1460</v>
      </c>
      <c r="B139" s="1"/>
      <c r="C139" s="1"/>
      <c r="D139" s="7" t="s">
        <v>1043</v>
      </c>
      <c r="E139" s="1" t="s">
        <v>1044</v>
      </c>
      <c r="F139" s="1" t="s">
        <v>634</v>
      </c>
      <c r="G139" s="11" t="s">
        <v>610</v>
      </c>
      <c r="H139" s="11">
        <v>53717</v>
      </c>
      <c r="I139" s="1" t="str">
        <f t="shared" si="4"/>
        <v xml:space="preserve"> </v>
      </c>
      <c r="J139" s="1" t="str">
        <f t="shared" si="5"/>
        <v>Switchcraft Inc</v>
      </c>
      <c r="K139" s="1" t="str">
        <f t="shared" si="6"/>
        <v>4</v>
      </c>
      <c r="L139" s="1" t="str">
        <f>VLOOKUP(A139,'Data Set 3 - Contacts'!$A$2:$F$136,5,FALSE)</f>
        <v>6083824541</v>
      </c>
      <c r="M139" s="1" t="str">
        <f>VLOOKUP(A139,'Data Set 3 - Contacts'!$A$2:$F$136,6,FALSE)</f>
        <v>6083023387</v>
      </c>
      <c r="N139" s="1" t="str">
        <f>VLOOKUP(A139,'Data Set 3 - Contacts'!$A$2:$F$136,4,FALSE)</f>
        <v>cecilia_colaizzo@colaizzo.com</v>
      </c>
      <c r="O139" s="1">
        <f>_xlfn.XLOOKUP(A139,'Data Set 2 - Vehicles'!$A$2:$A$158,'Data Set 2 - Vehicles'!$B$2:$B$158,0,0,-1)</f>
        <v>1</v>
      </c>
      <c r="P139" s="1" t="str">
        <f>_xlfn.XLOOKUP(A139,'Data Set 2 - Vehicles'!$A$2:$A$158,'Data Set 2 - Vehicles'!$E$2:$E$158,"Not Found",0,1)</f>
        <v>Intrigue</v>
      </c>
      <c r="Q139" s="1" t="str">
        <f>IF(_xlfn.CONCAT(_xlfn.XLOOKUP(A139,'Data Set 2 - Vehicles'!$A$2:$A$158,'Data Set 2 - Vehicles'!$D$2:$D$158,"Not Found",0,1)," ",_xlfn.XLOOKUP(A139,'Data Set 2 - Vehicles'!$A$2:$A$158,'Data Set 2 - Vehicles'!$E$2:$E$158,"Not Found",0,1))="Not Found Not Found", "Not Found",_xlfn.CONCAT(_xlfn.XLOOKUP(A139,'Data Set 2 - Vehicles'!$A$2:$A$158,'Data Set 2 - Vehicles'!$D$2:$D$158,"Not Found",0,1)," ",_xlfn.XLOOKUP(A139,'Data Set 2 - Vehicles'!$A$2:$A$158,'Data Set 2 - Vehicles'!$E$2:$E$158,"Not Found",0,1)))</f>
        <v>Oldsmobile Intrigue</v>
      </c>
      <c r="R139" s="5">
        <f>_xlfn.XLOOKUP(A139,'Data Set 2 - Vehicles'!$A$2:$A$158,'Data Set 2 - Vehicles'!$O$2:$O$158,"",0,1)</f>
        <v>39539</v>
      </c>
      <c r="S139" s="1" t="str">
        <f>IF(_xlfn.XLOOKUP(A139,'Data Set 2 - Vehicles'!$A$2:$A$158,'Data Set 2 - Vehicles'!$E$2:$E$158,"Has No Vehicle",0,-1)=P139,"Has Only One Vehicle",_xlfn.XLOOKUP(A139,'Data Set 2 - Vehicles'!$A$2:$A$158,'Data Set 2 - Vehicles'!$E$2:$E$158,"Has No Vehcile",0,-1))</f>
        <v>Has Only One Vehicle</v>
      </c>
      <c r="T139" s="1" t="str">
        <f>_xlfn.LET(_xlpm.mfcname,_xlfn.XLOOKUP(A139,'Data Set 2 - Vehicles'!$A$2:$A$158,'Data Set 2 - Vehicles'!$D$2:$D$158,"NF",0,-1),_xlpm.mdlname,_xlfn.XLOOKUP(A139,'Data Set 2 - Vehicles'!$A$2:$A$158,'Data Set 2 - Vehicles'!$E$2:$E$158,"NF",0,-1),_xlpm.vehcilename,_xlfn.CONCAT(_xlpm.mfcname," ",_xlpm.mdlname),IF(S139="Has No Vehicle","Has No Vehicle",IF(S139="Has Only One Vehicle","Has Only One Vehicle",IF(_xlpm.vehcilename="NF NF","Not Found",_xlpm.vehcilename))))</f>
        <v>Has Only One Vehicle</v>
      </c>
      <c r="U139" s="24" t="str">
        <f>_xlfn.LET(_xlpm.vserdate,_xlfn.XLOOKUP(A139,'Data Set 2 - Vehicles'!$A$2:$A$158,'Data Set 2 - Vehicles'!$O$2:$O$158,"NF",0,-1), IF(OR('Data Set 1'!S139="Has No Vehicle",'Data Set 1'!S139="Has Only One Vehicle"),'Data Set 1'!S139,_xlpm.vserdate))</f>
        <v>Has Only One Vehicle</v>
      </c>
      <c r="V139" s="1">
        <f>SUMIF('Data Set 2 - Vehicles'!$A$2:$A$158,'Data Set 1'!A139,'Data Set 2 - Vehicles'!$Q$2:$Q$158)</f>
        <v>244769</v>
      </c>
      <c r="W139" s="5">
        <f>_xlfn.LET(_xlpm.maxdate,_xlfn.MAXIFS('Data Set 2 - Vehicles'!$O$2:$O$158,'Data Set 2 - Vehicles'!$A$2:$A$158,'Data Set 1'!A139),IF(_xlpm.maxdate=0,"",_xlpm.maxdate))</f>
        <v>39539</v>
      </c>
      <c r="X139" s="1" t="str">
        <f t="shared" ca="1" si="7"/>
        <v>InActive</v>
      </c>
      <c r="Y139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40" spans="1:25" ht="12.75" x14ac:dyDescent="0.35">
      <c r="A140" s="17">
        <v>1491</v>
      </c>
      <c r="B140" s="1" t="s">
        <v>1046</v>
      </c>
      <c r="C140" s="1" t="s">
        <v>1047</v>
      </c>
      <c r="D140" s="7"/>
      <c r="E140" s="1" t="s">
        <v>1048</v>
      </c>
      <c r="F140" s="1" t="s">
        <v>654</v>
      </c>
      <c r="G140" s="11" t="s">
        <v>655</v>
      </c>
      <c r="H140" s="11">
        <v>67410</v>
      </c>
      <c r="I140" s="1" t="str">
        <f t="shared" si="4"/>
        <v>Carlee Boulter</v>
      </c>
      <c r="J140" s="1" t="str">
        <f t="shared" si="5"/>
        <v>Carlee Boulter</v>
      </c>
      <c r="K140" s="1" t="str">
        <f t="shared" si="6"/>
        <v>8284</v>
      </c>
      <c r="L140" s="1" t="str">
        <f>VLOOKUP(A140,'Data Set 3 - Contacts'!$A$2:$F$136,5,FALSE)</f>
        <v>7853471805</v>
      </c>
      <c r="M140" s="1" t="str">
        <f>VLOOKUP(A140,'Data Set 3 - Contacts'!$A$2:$F$136,6,FALSE)</f>
        <v>7852537049</v>
      </c>
      <c r="N140" s="1" t="str">
        <f>VLOOKUP(A140,'Data Set 3 - Contacts'!$A$2:$F$136,4,FALSE)</f>
        <v>carlee.boulter@hotmail.com</v>
      </c>
      <c r="O140" s="1">
        <f>_xlfn.XLOOKUP(A140,'Data Set 2 - Vehicles'!$A$2:$A$158,'Data Set 2 - Vehicles'!$B$2:$B$158,0,0,-1)</f>
        <v>2</v>
      </c>
      <c r="P140" s="1" t="str">
        <f>_xlfn.XLOOKUP(A140,'Data Set 2 - Vehicles'!$A$2:$A$158,'Data Set 2 - Vehicles'!$E$2:$E$158,"Not Found",0,1)</f>
        <v>Jetta</v>
      </c>
      <c r="Q140" s="1" t="str">
        <f>IF(_xlfn.CONCAT(_xlfn.XLOOKUP(A140,'Data Set 2 - Vehicles'!$A$2:$A$158,'Data Set 2 - Vehicles'!$D$2:$D$158,"Not Found",0,1)," ",_xlfn.XLOOKUP(A140,'Data Set 2 - Vehicles'!$A$2:$A$158,'Data Set 2 - Vehicles'!$E$2:$E$158,"Not Found",0,1))="Not Found Not Found", "Not Found",_xlfn.CONCAT(_xlfn.XLOOKUP(A140,'Data Set 2 - Vehicles'!$A$2:$A$158,'Data Set 2 - Vehicles'!$D$2:$D$158,"Not Found",0,1)," ",_xlfn.XLOOKUP(A140,'Data Set 2 - Vehicles'!$A$2:$A$158,'Data Set 2 - Vehicles'!$E$2:$E$158,"Not Found",0,1)))</f>
        <v>Volkswagen Jetta</v>
      </c>
      <c r="R140" s="5">
        <f>_xlfn.XLOOKUP(A140,'Data Set 2 - Vehicles'!$A$2:$A$158,'Data Set 2 - Vehicles'!$O$2:$O$158,"",0,1)</f>
        <v>45531</v>
      </c>
      <c r="S140" s="1" t="str">
        <f>IF(_xlfn.XLOOKUP(A140,'Data Set 2 - Vehicles'!$A$2:$A$158,'Data Set 2 - Vehicles'!$E$2:$E$158,"Has No Vehicle",0,-1)=P140,"Has Only One Vehicle",_xlfn.XLOOKUP(A140,'Data Set 2 - Vehicles'!$A$2:$A$158,'Data Set 2 - Vehicles'!$E$2:$E$158,"Has No Vehcile",0,-1))</f>
        <v>Bonneville</v>
      </c>
      <c r="T140" s="1" t="str">
        <f>_xlfn.LET(_xlpm.mfcname,_xlfn.XLOOKUP(A140,'Data Set 2 - Vehicles'!$A$2:$A$158,'Data Set 2 - Vehicles'!$D$2:$D$158,"NF",0,-1),_xlpm.mdlname,_xlfn.XLOOKUP(A140,'Data Set 2 - Vehicles'!$A$2:$A$158,'Data Set 2 - Vehicles'!$E$2:$E$158,"NF",0,-1),_xlpm.vehcilename,_xlfn.CONCAT(_xlpm.mfcname," ",_xlpm.mdlname),IF(S140="Has No Vehicle","Has No Vehicle",IF(S140="Has Only One Vehicle","Has Only One Vehicle",IF(_xlpm.vehcilename="NF NF","Not Found",_xlpm.vehcilename))))</f>
        <v>Pontiac Bonneville</v>
      </c>
      <c r="U140" s="24">
        <f>_xlfn.LET(_xlpm.vserdate,_xlfn.XLOOKUP(A140,'Data Set 2 - Vehicles'!$A$2:$A$158,'Data Set 2 - Vehicles'!$O$2:$O$158,"NF",0,-1), IF(OR('Data Set 1'!S140="Has No Vehicle",'Data Set 1'!S140="Has Only One Vehicle"),'Data Set 1'!S140,_xlpm.vserdate))</f>
        <v>43603</v>
      </c>
      <c r="V140" s="1">
        <f>SUMIF('Data Set 2 - Vehicles'!$A$2:$A$158,'Data Set 1'!A140,'Data Set 2 - Vehicles'!$Q$2:$Q$158)</f>
        <v>334002</v>
      </c>
      <c r="W140" s="5">
        <f>_xlfn.LET(_xlpm.maxdate,_xlfn.MAXIFS('Data Set 2 - Vehicles'!$O$2:$O$158,'Data Set 2 - Vehicles'!$A$2:$A$158,'Data Set 1'!A140),IF(_xlpm.maxdate=0,"",_xlpm.maxdate))</f>
        <v>45531</v>
      </c>
      <c r="X140" s="1" t="str">
        <f t="shared" ca="1" si="7"/>
        <v>Active</v>
      </c>
      <c r="Y140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41" spans="1:25" ht="12.75" x14ac:dyDescent="0.35">
      <c r="A141" s="15">
        <v>1041</v>
      </c>
      <c r="B141" s="1"/>
      <c r="C141" s="1"/>
      <c r="D141" s="7" t="s">
        <v>1050</v>
      </c>
      <c r="E141" s="1" t="s">
        <v>1051</v>
      </c>
      <c r="F141" s="1" t="s">
        <v>1052</v>
      </c>
      <c r="G141" s="11" t="s">
        <v>1053</v>
      </c>
      <c r="H141" s="11">
        <v>97754</v>
      </c>
      <c r="I141" s="1" t="str">
        <f t="shared" si="4"/>
        <v xml:space="preserve"> </v>
      </c>
      <c r="J141" s="1" t="str">
        <f t="shared" si="5"/>
        <v>Tri M Tool Inc</v>
      </c>
      <c r="K141" s="1" t="str">
        <f t="shared" si="6"/>
        <v>2881</v>
      </c>
      <c r="L141" s="1" t="str">
        <f>VLOOKUP(A141,'Data Set 3 - Contacts'!$A$2:$F$136,5,FALSE)</f>
        <v>5415488197</v>
      </c>
      <c r="M141" s="1" t="str">
        <f>VLOOKUP(A141,'Data Set 3 - Contacts'!$A$2:$F$136,6,FALSE)</f>
        <v>5419932611</v>
      </c>
      <c r="N141" s="1" t="str">
        <f>VLOOKUP(A141,'Data Set 3 - Contacts'!$A$2:$F$136,4,FALSE)</f>
        <v>youlanda@aol.com</v>
      </c>
      <c r="O141" s="1">
        <f>_xlfn.XLOOKUP(A141,'Data Set 2 - Vehicles'!$A$2:$A$158,'Data Set 2 - Vehicles'!$B$2:$B$158,0,0,-1)</f>
        <v>1</v>
      </c>
      <c r="P141" s="1" t="str">
        <f>_xlfn.XLOOKUP(A141,'Data Set 2 - Vehicles'!$A$2:$A$158,'Data Set 2 - Vehicles'!$E$2:$E$158,"Not Found",0,1)</f>
        <v>C-Class</v>
      </c>
      <c r="Q141" s="1" t="str">
        <f>IF(_xlfn.CONCAT(_xlfn.XLOOKUP(A141,'Data Set 2 - Vehicles'!$A$2:$A$158,'Data Set 2 - Vehicles'!$D$2:$D$158,"Not Found",0,1)," ",_xlfn.XLOOKUP(A141,'Data Set 2 - Vehicles'!$A$2:$A$158,'Data Set 2 - Vehicles'!$E$2:$E$158,"Not Found",0,1))="Not Found Not Found", "Not Found",_xlfn.CONCAT(_xlfn.XLOOKUP(A141,'Data Set 2 - Vehicles'!$A$2:$A$158,'Data Set 2 - Vehicles'!$D$2:$D$158,"Not Found",0,1)," ",_xlfn.XLOOKUP(A141,'Data Set 2 - Vehicles'!$A$2:$A$158,'Data Set 2 - Vehicles'!$E$2:$E$158,"Not Found",0,1)))</f>
        <v>Mercedes-B C-Class</v>
      </c>
      <c r="R141" s="5">
        <f>_xlfn.XLOOKUP(A141,'Data Set 2 - Vehicles'!$A$2:$A$158,'Data Set 2 - Vehicles'!$O$2:$O$158,"",0,1)</f>
        <v>38831</v>
      </c>
      <c r="S141" s="1" t="str">
        <f>IF(_xlfn.XLOOKUP(A141,'Data Set 2 - Vehicles'!$A$2:$A$158,'Data Set 2 - Vehicles'!$E$2:$E$158,"Has No Vehicle",0,-1)=P141,"Has Only One Vehicle",_xlfn.XLOOKUP(A141,'Data Set 2 - Vehicles'!$A$2:$A$158,'Data Set 2 - Vehicles'!$E$2:$E$158,"Has No Vehcile",0,-1))</f>
        <v>Has Only One Vehicle</v>
      </c>
      <c r="T141" s="1" t="str">
        <f>_xlfn.LET(_xlpm.mfcname,_xlfn.XLOOKUP(A141,'Data Set 2 - Vehicles'!$A$2:$A$158,'Data Set 2 - Vehicles'!$D$2:$D$158,"NF",0,-1),_xlpm.mdlname,_xlfn.XLOOKUP(A141,'Data Set 2 - Vehicles'!$A$2:$A$158,'Data Set 2 - Vehicles'!$E$2:$E$158,"NF",0,-1),_xlpm.vehcilename,_xlfn.CONCAT(_xlpm.mfcname," ",_xlpm.mdlname),IF(S141="Has No Vehicle","Has No Vehicle",IF(S141="Has Only One Vehicle","Has Only One Vehicle",IF(_xlpm.vehcilename="NF NF","Not Found",_xlpm.vehcilename))))</f>
        <v>Has Only One Vehicle</v>
      </c>
      <c r="U141" s="24" t="str">
        <f>_xlfn.LET(_xlpm.vserdate,_xlfn.XLOOKUP(A141,'Data Set 2 - Vehicles'!$A$2:$A$158,'Data Set 2 - Vehicles'!$O$2:$O$158,"NF",0,-1), IF(OR('Data Set 1'!S141="Has No Vehicle",'Data Set 1'!S141="Has Only One Vehicle"),'Data Set 1'!S141,_xlpm.vserdate))</f>
        <v>Has Only One Vehicle</v>
      </c>
      <c r="V141" s="1">
        <f>SUMIF('Data Set 2 - Vehicles'!$A$2:$A$158,'Data Set 1'!A141,'Data Set 2 - Vehicles'!$Q$2:$Q$158)</f>
        <v>150944</v>
      </c>
      <c r="W141" s="5">
        <f>_xlfn.LET(_xlpm.maxdate,_xlfn.MAXIFS('Data Set 2 - Vehicles'!$O$2:$O$158,'Data Set 2 - Vehicles'!$A$2:$A$158,'Data Set 1'!A141),IF(_xlpm.maxdate=0,"",_xlpm.maxdate))</f>
        <v>38831</v>
      </c>
      <c r="X141" s="1" t="str">
        <f t="shared" ca="1" si="7"/>
        <v>InActive</v>
      </c>
      <c r="Y141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42" spans="1:25" ht="12.75" x14ac:dyDescent="0.35">
      <c r="A142" s="15">
        <v>1232</v>
      </c>
      <c r="B142" s="1"/>
      <c r="C142" s="1"/>
      <c r="D142" s="7" t="s">
        <v>1055</v>
      </c>
      <c r="E142" s="1" t="s">
        <v>1056</v>
      </c>
      <c r="F142" s="1" t="s">
        <v>1057</v>
      </c>
      <c r="G142" s="11" t="s">
        <v>419</v>
      </c>
      <c r="H142" s="11">
        <v>7446</v>
      </c>
      <c r="I142" s="1" t="str">
        <f t="shared" si="4"/>
        <v xml:space="preserve"> </v>
      </c>
      <c r="J142" s="1" t="str">
        <f t="shared" si="5"/>
        <v>Tyee Productions Inc</v>
      </c>
      <c r="K142" s="1" t="str">
        <f t="shared" si="6"/>
        <v>3958</v>
      </c>
      <c r="L142" s="1" t="str">
        <f>VLOOKUP(A142,'Data Set 3 - Contacts'!$A$2:$F$136,5,FALSE)</f>
        <v>2014744924</v>
      </c>
      <c r="M142" s="1" t="str">
        <f>VLOOKUP(A142,'Data Set 3 - Contacts'!$A$2:$F$136,6,FALSE)</f>
        <v>2013658698</v>
      </c>
      <c r="N142" s="1" t="str">
        <f>VLOOKUP(A142,'Data Set 3 - Contacts'!$A$2:$F$136,4,FALSE)</f>
        <v>eladia@saulter.com</v>
      </c>
      <c r="O142" s="1">
        <f>_xlfn.XLOOKUP(A142,'Data Set 2 - Vehicles'!$A$2:$A$158,'Data Set 2 - Vehicles'!$B$2:$B$158,0,0,-1)</f>
        <v>1</v>
      </c>
      <c r="P142" s="1" t="str">
        <f>_xlfn.XLOOKUP(A142,'Data Set 2 - Vehicles'!$A$2:$A$158,'Data Set 2 - Vehicles'!$E$2:$E$158,"Not Found",0,1)</f>
        <v>Avenger</v>
      </c>
      <c r="Q142" s="1" t="str">
        <f>IF(_xlfn.CONCAT(_xlfn.XLOOKUP(A142,'Data Set 2 - Vehicles'!$A$2:$A$158,'Data Set 2 - Vehicles'!$D$2:$D$158,"Not Found",0,1)," ",_xlfn.XLOOKUP(A142,'Data Set 2 - Vehicles'!$A$2:$A$158,'Data Set 2 - Vehicles'!$E$2:$E$158,"Not Found",0,1))="Not Found Not Found", "Not Found",_xlfn.CONCAT(_xlfn.XLOOKUP(A142,'Data Set 2 - Vehicles'!$A$2:$A$158,'Data Set 2 - Vehicles'!$D$2:$D$158,"Not Found",0,1)," ",_xlfn.XLOOKUP(A142,'Data Set 2 - Vehicles'!$A$2:$A$158,'Data Set 2 - Vehicles'!$E$2:$E$158,"Not Found",0,1)))</f>
        <v>Dodge Avenger</v>
      </c>
      <c r="R142" s="5">
        <f>_xlfn.XLOOKUP(A142,'Data Set 2 - Vehicles'!$A$2:$A$158,'Data Set 2 - Vehicles'!$O$2:$O$158,"",0,1)</f>
        <v>43647</v>
      </c>
      <c r="S142" s="1" t="str">
        <f>IF(_xlfn.XLOOKUP(A142,'Data Set 2 - Vehicles'!$A$2:$A$158,'Data Set 2 - Vehicles'!$E$2:$E$158,"Has No Vehicle",0,-1)=P142,"Has Only One Vehicle",_xlfn.XLOOKUP(A142,'Data Set 2 - Vehicles'!$A$2:$A$158,'Data Set 2 - Vehicles'!$E$2:$E$158,"Has No Vehcile",0,-1))</f>
        <v>Has Only One Vehicle</v>
      </c>
      <c r="T142" s="1" t="str">
        <f>_xlfn.LET(_xlpm.mfcname,_xlfn.XLOOKUP(A142,'Data Set 2 - Vehicles'!$A$2:$A$158,'Data Set 2 - Vehicles'!$D$2:$D$158,"NF",0,-1),_xlpm.mdlname,_xlfn.XLOOKUP(A142,'Data Set 2 - Vehicles'!$A$2:$A$158,'Data Set 2 - Vehicles'!$E$2:$E$158,"NF",0,-1),_xlpm.vehcilename,_xlfn.CONCAT(_xlpm.mfcname," ",_xlpm.mdlname),IF(S142="Has No Vehicle","Has No Vehicle",IF(S142="Has Only One Vehicle","Has Only One Vehicle",IF(_xlpm.vehcilename="NF NF","Not Found",_xlpm.vehcilename))))</f>
        <v>Has Only One Vehicle</v>
      </c>
      <c r="U142" s="24" t="str">
        <f>_xlfn.LET(_xlpm.vserdate,_xlfn.XLOOKUP(A142,'Data Set 2 - Vehicles'!$A$2:$A$158,'Data Set 2 - Vehicles'!$O$2:$O$158,"NF",0,-1), IF(OR('Data Set 1'!S142="Has No Vehicle",'Data Set 1'!S142="Has Only One Vehicle"),'Data Set 1'!S142,_xlpm.vserdate))</f>
        <v>Has Only One Vehicle</v>
      </c>
      <c r="V142" s="1">
        <f>SUMIF('Data Set 2 - Vehicles'!$A$2:$A$158,'Data Set 1'!A142,'Data Set 2 - Vehicles'!$Q$2:$Q$158)</f>
        <v>250652</v>
      </c>
      <c r="W142" s="5">
        <f>_xlfn.LET(_xlpm.maxdate,_xlfn.MAXIFS('Data Set 2 - Vehicles'!$O$2:$O$158,'Data Set 2 - Vehicles'!$A$2:$A$158,'Data Set 1'!A142),IF(_xlpm.maxdate=0,"",_xlpm.maxdate))</f>
        <v>43647</v>
      </c>
      <c r="X142" s="1" t="str">
        <f t="shared" ca="1" si="7"/>
        <v>InActive</v>
      </c>
      <c r="Y142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43" spans="1:25" ht="12.75" x14ac:dyDescent="0.35">
      <c r="A143" s="15">
        <v>1473</v>
      </c>
      <c r="B143" s="1" t="s">
        <v>1059</v>
      </c>
      <c r="C143" s="1" t="s">
        <v>1060</v>
      </c>
      <c r="D143" s="7" t="s">
        <v>1061</v>
      </c>
      <c r="E143" s="1" t="s">
        <v>1062</v>
      </c>
      <c r="F143" s="1" t="s">
        <v>1063</v>
      </c>
      <c r="G143" s="11" t="s">
        <v>787</v>
      </c>
      <c r="H143" s="11">
        <v>34429</v>
      </c>
      <c r="I143" s="1" t="str">
        <f t="shared" ref="I143:I148" si="8">_xlfn.CONCAT(B143," ",C143)</f>
        <v>Nickolas Juvera</v>
      </c>
      <c r="J143" s="1" t="str">
        <f t="shared" ref="J143:J148" si="9">IF(I143=" ",D143,I143)</f>
        <v>Nickolas Juvera</v>
      </c>
      <c r="K143" s="1" t="str">
        <f t="shared" ref="K143:K148" si="10">_xlfn.TEXTBEFORE(E143, " ")</f>
        <v>177</v>
      </c>
      <c r="L143" s="1" t="str">
        <f>VLOOKUP(A143,'Data Set 3 - Contacts'!$A$2:$F$136,5,FALSE)</f>
        <v>3525988301</v>
      </c>
      <c r="M143" s="1" t="str">
        <f>VLOOKUP(A143,'Data Set 3 - Contacts'!$A$2:$F$136,6,FALSE)</f>
        <v>3529476152</v>
      </c>
      <c r="N143" s="1" t="str">
        <f>VLOOKUP(A143,'Data Set 3 - Contacts'!$A$2:$F$136,4,FALSE)</f>
        <v>nickolas_juvera@cox.net</v>
      </c>
      <c r="O143" s="1">
        <f>_xlfn.XLOOKUP(A143,'Data Set 2 - Vehicles'!$A$2:$A$158,'Data Set 2 - Vehicles'!$B$2:$B$158,0,0,-1)</f>
        <v>1</v>
      </c>
      <c r="P143" s="1" t="str">
        <f>_xlfn.XLOOKUP(A143,'Data Set 2 - Vehicles'!$A$2:$A$158,'Data Set 2 - Vehicles'!$E$2:$E$158,"Not Found",0,1)</f>
        <v>ES300</v>
      </c>
      <c r="Q143" s="1" t="str">
        <f>IF(_xlfn.CONCAT(_xlfn.XLOOKUP(A143,'Data Set 2 - Vehicles'!$A$2:$A$158,'Data Set 2 - Vehicles'!$D$2:$D$158,"Not Found",0,1)," ",_xlfn.XLOOKUP(A143,'Data Set 2 - Vehicles'!$A$2:$A$158,'Data Set 2 - Vehicles'!$E$2:$E$158,"Not Found",0,1))="Not Found Not Found", "Not Found",_xlfn.CONCAT(_xlfn.XLOOKUP(A143,'Data Set 2 - Vehicles'!$A$2:$A$158,'Data Set 2 - Vehicles'!$D$2:$D$158,"Not Found",0,1)," ",_xlfn.XLOOKUP(A143,'Data Set 2 - Vehicles'!$A$2:$A$158,'Data Set 2 - Vehicles'!$E$2:$E$158,"Not Found",0,1)))</f>
        <v>Lexus ES300</v>
      </c>
      <c r="R143" s="5">
        <f>_xlfn.XLOOKUP(A143,'Data Set 2 - Vehicles'!$A$2:$A$158,'Data Set 2 - Vehicles'!$O$2:$O$158,"",0,1)</f>
        <v>40003</v>
      </c>
      <c r="S143" s="1" t="str">
        <f>IF(_xlfn.XLOOKUP(A143,'Data Set 2 - Vehicles'!$A$2:$A$158,'Data Set 2 - Vehicles'!$E$2:$E$158,"Has No Vehicle",0,-1)=P143,"Has Only One Vehicle",_xlfn.XLOOKUP(A143,'Data Set 2 - Vehicles'!$A$2:$A$158,'Data Set 2 - Vehicles'!$E$2:$E$158,"Has No Vehcile",0,-1))</f>
        <v>Has Only One Vehicle</v>
      </c>
      <c r="T143" s="1" t="str">
        <f>_xlfn.LET(_xlpm.mfcname,_xlfn.XLOOKUP(A143,'Data Set 2 - Vehicles'!$A$2:$A$158,'Data Set 2 - Vehicles'!$D$2:$D$158,"NF",0,-1),_xlpm.mdlname,_xlfn.XLOOKUP(A143,'Data Set 2 - Vehicles'!$A$2:$A$158,'Data Set 2 - Vehicles'!$E$2:$E$158,"NF",0,-1),_xlpm.vehcilename,_xlfn.CONCAT(_xlpm.mfcname," ",_xlpm.mdlname),IF(S143="Has No Vehicle","Has No Vehicle",IF(S143="Has Only One Vehicle","Has Only One Vehicle",IF(_xlpm.vehcilename="NF NF","Not Found",_xlpm.vehcilename))))</f>
        <v>Has Only One Vehicle</v>
      </c>
      <c r="U143" s="24" t="str">
        <f>_xlfn.LET(_xlpm.vserdate,_xlfn.XLOOKUP(A143,'Data Set 2 - Vehicles'!$A$2:$A$158,'Data Set 2 - Vehicles'!$O$2:$O$158,"NF",0,-1), IF(OR('Data Set 1'!S143="Has No Vehicle",'Data Set 1'!S143="Has Only One Vehicle"),'Data Set 1'!S143,_xlpm.vserdate))</f>
        <v>Has Only One Vehicle</v>
      </c>
      <c r="V143" s="1">
        <f>SUMIF('Data Set 2 - Vehicles'!$A$2:$A$158,'Data Set 1'!A143,'Data Set 2 - Vehicles'!$Q$2:$Q$158)</f>
        <v>85836</v>
      </c>
      <c r="W143" s="5">
        <f>_xlfn.LET(_xlpm.maxdate,_xlfn.MAXIFS('Data Set 2 - Vehicles'!$O$2:$O$158,'Data Set 2 - Vehicles'!$A$2:$A$158,'Data Set 1'!A143),IF(_xlpm.maxdate=0,"",_xlpm.maxdate))</f>
        <v>40003</v>
      </c>
      <c r="X143" s="1" t="str">
        <f t="shared" ref="X143:X148" ca="1" si="11">IF(W143="","No Service Record", IF(W143&lt;EDATE(TODAY(),-48),"InActive","Active"))</f>
        <v>InActive</v>
      </c>
      <c r="Y143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50K - 100K</v>
      </c>
    </row>
    <row r="144" spans="1:25" ht="12.75" x14ac:dyDescent="0.35">
      <c r="A144" s="15">
        <v>1054</v>
      </c>
      <c r="B144" s="1"/>
      <c r="C144" s="1"/>
      <c r="D144" s="7" t="s">
        <v>1065</v>
      </c>
      <c r="E144" s="1" t="s">
        <v>1066</v>
      </c>
      <c r="F144" s="1" t="s">
        <v>1067</v>
      </c>
      <c r="G144" s="11" t="s">
        <v>524</v>
      </c>
      <c r="H144" s="11">
        <v>19087</v>
      </c>
      <c r="I144" s="1" t="str">
        <f t="shared" si="8"/>
        <v xml:space="preserve"> </v>
      </c>
      <c r="J144" s="1" t="str">
        <f t="shared" si="9"/>
        <v>Vicon Corporation</v>
      </c>
      <c r="K144" s="1" t="str">
        <f t="shared" si="10"/>
        <v>71</v>
      </c>
      <c r="L144" s="1" t="str">
        <f>VLOOKUP(A144,'Data Set 3 - Contacts'!$A$2:$F$136,5,FALSE)</f>
        <v>6108145533</v>
      </c>
      <c r="M144" s="1" t="str">
        <f>VLOOKUP(A144,'Data Set 3 - Contacts'!$A$2:$F$136,6,FALSE)</f>
        <v>6103797125</v>
      </c>
      <c r="N144" s="1" t="str">
        <f>VLOOKUP(A144,'Data Set 3 - Contacts'!$A$2:$F$136,4,FALSE)</f>
        <v>mmastella@mastella.com</v>
      </c>
      <c r="O144" s="1">
        <f>_xlfn.XLOOKUP(A144,'Data Set 2 - Vehicles'!$A$2:$A$158,'Data Set 2 - Vehicles'!$B$2:$B$158,0,0,-1)</f>
        <v>2</v>
      </c>
      <c r="P144" s="1" t="str">
        <f>_xlfn.XLOOKUP(A144,'Data Set 2 - Vehicles'!$A$2:$A$158,'Data Set 2 - Vehicles'!$E$2:$E$158,"Not Found",0,1)</f>
        <v>RAV4</v>
      </c>
      <c r="Q144" s="1" t="str">
        <f>IF(_xlfn.CONCAT(_xlfn.XLOOKUP(A144,'Data Set 2 - Vehicles'!$A$2:$A$158,'Data Set 2 - Vehicles'!$D$2:$D$158,"Not Found",0,1)," ",_xlfn.XLOOKUP(A144,'Data Set 2 - Vehicles'!$A$2:$A$158,'Data Set 2 - Vehicles'!$E$2:$E$158,"Not Found",0,1))="Not Found Not Found", "Not Found",_xlfn.CONCAT(_xlfn.XLOOKUP(A144,'Data Set 2 - Vehicles'!$A$2:$A$158,'Data Set 2 - Vehicles'!$D$2:$D$158,"Not Found",0,1)," ",_xlfn.XLOOKUP(A144,'Data Set 2 - Vehicles'!$A$2:$A$158,'Data Set 2 - Vehicles'!$E$2:$E$158,"Not Found",0,1)))</f>
        <v>Toyota RAV4</v>
      </c>
      <c r="R144" s="5">
        <f>_xlfn.XLOOKUP(A144,'Data Set 2 - Vehicles'!$A$2:$A$158,'Data Set 2 - Vehicles'!$O$2:$O$158,"",0,1)</f>
        <v>42496</v>
      </c>
      <c r="S144" s="1" t="str">
        <f>IF(_xlfn.XLOOKUP(A144,'Data Set 2 - Vehicles'!$A$2:$A$158,'Data Set 2 - Vehicles'!$E$2:$E$158,"Has No Vehicle",0,-1)=P144,"Has Only One Vehicle",_xlfn.XLOOKUP(A144,'Data Set 2 - Vehicles'!$A$2:$A$158,'Data Set 2 - Vehicles'!$E$2:$E$158,"Has No Vehcile",0,-1))</f>
        <v>Sunfire</v>
      </c>
      <c r="T144" s="1" t="str">
        <f>_xlfn.LET(_xlpm.mfcname,_xlfn.XLOOKUP(A144,'Data Set 2 - Vehicles'!$A$2:$A$158,'Data Set 2 - Vehicles'!$D$2:$D$158,"NF",0,-1),_xlpm.mdlname,_xlfn.XLOOKUP(A144,'Data Set 2 - Vehicles'!$A$2:$A$158,'Data Set 2 - Vehicles'!$E$2:$E$158,"NF",0,-1),_xlpm.vehcilename,_xlfn.CONCAT(_xlpm.mfcname," ",_xlpm.mdlname),IF(S144="Has No Vehicle","Has No Vehicle",IF(S144="Has Only One Vehicle","Has Only One Vehicle",IF(_xlpm.vehcilename="NF NF","Not Found",_xlpm.vehcilename))))</f>
        <v>Pontiac Sunfire</v>
      </c>
      <c r="U144" s="24">
        <f>_xlfn.LET(_xlpm.vserdate,_xlfn.XLOOKUP(A144,'Data Set 2 - Vehicles'!$A$2:$A$158,'Data Set 2 - Vehicles'!$O$2:$O$158,"NF",0,-1), IF(OR('Data Set 1'!S144="Has No Vehicle",'Data Set 1'!S144="Has Only One Vehicle"),'Data Set 1'!S144,_xlpm.vserdate))</f>
        <v>40203</v>
      </c>
      <c r="V144" s="1">
        <f>SUMIF('Data Set 2 - Vehicles'!$A$2:$A$158,'Data Set 1'!A144,'Data Set 2 - Vehicles'!$Q$2:$Q$158)</f>
        <v>558907</v>
      </c>
      <c r="W144" s="5">
        <f>_xlfn.LET(_xlpm.maxdate,_xlfn.MAXIFS('Data Set 2 - Vehicles'!$O$2:$O$158,'Data Set 2 - Vehicles'!$A$2:$A$158,'Data Set 1'!A144),IF(_xlpm.maxdate=0,"",_xlpm.maxdate))</f>
        <v>42496</v>
      </c>
      <c r="X144" s="1" t="str">
        <f t="shared" ca="1" si="11"/>
        <v>InActive</v>
      </c>
      <c r="Y144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45" spans="1:25" ht="12.75" x14ac:dyDescent="0.35">
      <c r="A145" s="15">
        <v>1396</v>
      </c>
      <c r="B145" s="1"/>
      <c r="C145" s="1"/>
      <c r="D145" s="7" t="s">
        <v>1069</v>
      </c>
      <c r="E145" s="1" t="s">
        <v>1070</v>
      </c>
      <c r="F145" s="1" t="s">
        <v>1071</v>
      </c>
      <c r="G145" s="11" t="s">
        <v>495</v>
      </c>
      <c r="H145" s="11">
        <v>21234</v>
      </c>
      <c r="I145" s="1" t="str">
        <f t="shared" si="8"/>
        <v xml:space="preserve"> </v>
      </c>
      <c r="J145" s="1" t="str">
        <f t="shared" si="9"/>
        <v>Vico Products Mfg Co</v>
      </c>
      <c r="K145" s="1" t="str">
        <f t="shared" si="10"/>
        <v>5</v>
      </c>
      <c r="L145" s="1" t="str">
        <f>VLOOKUP(A145,'Data Set 3 - Contacts'!$A$2:$F$136,5,FALSE)</f>
        <v>4107571035</v>
      </c>
      <c r="M145" s="1" t="str">
        <f>VLOOKUP(A145,'Data Set 3 - Contacts'!$A$2:$F$136,6,FALSE)</f>
        <v>4102342267</v>
      </c>
      <c r="N145" s="1" t="str">
        <f>VLOOKUP(A145,'Data Set 3 - Contacts'!$A$2:$F$136,4,FALSE)</f>
        <v>annelle@yahoo.com</v>
      </c>
      <c r="O145" s="1">
        <f>_xlfn.XLOOKUP(A145,'Data Set 2 - Vehicles'!$A$2:$A$158,'Data Set 2 - Vehicles'!$B$2:$B$158,0,0,-1)</f>
        <v>1</v>
      </c>
      <c r="P145" s="1" t="str">
        <f>_xlfn.XLOOKUP(A145,'Data Set 2 - Vehicles'!$A$2:$A$158,'Data Set 2 - Vehicles'!$E$2:$E$158,"Not Found",0,1)</f>
        <v>Metro</v>
      </c>
      <c r="Q145" s="1" t="str">
        <f>IF(_xlfn.CONCAT(_xlfn.XLOOKUP(A145,'Data Set 2 - Vehicles'!$A$2:$A$158,'Data Set 2 - Vehicles'!$D$2:$D$158,"Not Found",0,1)," ",_xlfn.XLOOKUP(A145,'Data Set 2 - Vehicles'!$A$2:$A$158,'Data Set 2 - Vehicles'!$E$2:$E$158,"Not Found",0,1))="Not Found Not Found", "Not Found",_xlfn.CONCAT(_xlfn.XLOOKUP(A145,'Data Set 2 - Vehicles'!$A$2:$A$158,'Data Set 2 - Vehicles'!$D$2:$D$158,"Not Found",0,1)," ",_xlfn.XLOOKUP(A145,'Data Set 2 - Vehicles'!$A$2:$A$158,'Data Set 2 - Vehicles'!$E$2:$E$158,"Not Found",0,1)))</f>
        <v>Chevrolet Metro</v>
      </c>
      <c r="R145" s="5">
        <f>_xlfn.XLOOKUP(A145,'Data Set 2 - Vehicles'!$A$2:$A$158,'Data Set 2 - Vehicles'!$O$2:$O$158,"",0,1)</f>
        <v>41742</v>
      </c>
      <c r="S145" s="1" t="str">
        <f>IF(_xlfn.XLOOKUP(A145,'Data Set 2 - Vehicles'!$A$2:$A$158,'Data Set 2 - Vehicles'!$E$2:$E$158,"Has No Vehicle",0,-1)=P145,"Has Only One Vehicle",_xlfn.XLOOKUP(A145,'Data Set 2 - Vehicles'!$A$2:$A$158,'Data Set 2 - Vehicles'!$E$2:$E$158,"Has No Vehcile",0,-1))</f>
        <v>Has Only One Vehicle</v>
      </c>
      <c r="T145" s="1" t="str">
        <f>_xlfn.LET(_xlpm.mfcname,_xlfn.XLOOKUP(A145,'Data Set 2 - Vehicles'!$A$2:$A$158,'Data Set 2 - Vehicles'!$D$2:$D$158,"NF",0,-1),_xlpm.mdlname,_xlfn.XLOOKUP(A145,'Data Set 2 - Vehicles'!$A$2:$A$158,'Data Set 2 - Vehicles'!$E$2:$E$158,"NF",0,-1),_xlpm.vehcilename,_xlfn.CONCAT(_xlpm.mfcname," ",_xlpm.mdlname),IF(S145="Has No Vehicle","Has No Vehicle",IF(S145="Has Only One Vehicle","Has Only One Vehicle",IF(_xlpm.vehcilename="NF NF","Not Found",_xlpm.vehcilename))))</f>
        <v>Has Only One Vehicle</v>
      </c>
      <c r="U145" s="24" t="str">
        <f>_xlfn.LET(_xlpm.vserdate,_xlfn.XLOOKUP(A145,'Data Set 2 - Vehicles'!$A$2:$A$158,'Data Set 2 - Vehicles'!$O$2:$O$158,"NF",0,-1), IF(OR('Data Set 1'!S145="Has No Vehicle",'Data Set 1'!S145="Has Only One Vehicle"),'Data Set 1'!S145,_xlpm.vserdate))</f>
        <v>Has Only One Vehicle</v>
      </c>
      <c r="V145" s="1">
        <f>SUMIF('Data Set 2 - Vehicles'!$A$2:$A$158,'Data Set 1'!A145,'Data Set 2 - Vehicles'!$Q$2:$Q$158)</f>
        <v>198865</v>
      </c>
      <c r="W145" s="5">
        <f>_xlfn.LET(_xlpm.maxdate,_xlfn.MAXIFS('Data Set 2 - Vehicles'!$O$2:$O$158,'Data Set 2 - Vehicles'!$A$2:$A$158,'Data Set 1'!A145),IF(_xlpm.maxdate=0,"",_xlpm.maxdate))</f>
        <v>41742</v>
      </c>
      <c r="X145" s="1" t="str">
        <f t="shared" ca="1" si="11"/>
        <v>InActive</v>
      </c>
      <c r="Y145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46" spans="1:25" ht="12.75" x14ac:dyDescent="0.35">
      <c r="A146" s="15">
        <v>1470</v>
      </c>
      <c r="B146" s="1"/>
      <c r="C146" s="1"/>
      <c r="D146" s="7" t="s">
        <v>1072</v>
      </c>
      <c r="E146" s="1" t="s">
        <v>1073</v>
      </c>
      <c r="F146" s="1" t="s">
        <v>1074</v>
      </c>
      <c r="G146" s="11" t="s">
        <v>660</v>
      </c>
      <c r="H146" s="11">
        <v>75075</v>
      </c>
      <c r="I146" s="1" t="str">
        <f t="shared" si="8"/>
        <v xml:space="preserve"> </v>
      </c>
      <c r="J146" s="1" t="str">
        <f t="shared" si="9"/>
        <v>Warner Electric Brk &amp; Cltch Co</v>
      </c>
      <c r="K146" s="1" t="str">
        <f t="shared" si="10"/>
        <v>13</v>
      </c>
      <c r="L146" s="1" t="str">
        <f>VLOOKUP(A146,'Data Set 3 - Contacts'!$A$2:$F$136,5,FALSE)</f>
        <v>9725581665</v>
      </c>
      <c r="M146" s="1" t="str">
        <f>VLOOKUP(A146,'Data Set 3 - Contacts'!$A$2:$F$136,6,FALSE)</f>
        <v/>
      </c>
      <c r="N146" s="1" t="str">
        <f>VLOOKUP(A146,'Data Set 3 - Contacts'!$A$2:$F$136,4,FALSE)</f>
        <v>ryan@cox.net</v>
      </c>
      <c r="O146" s="1">
        <f>_xlfn.XLOOKUP(A146,'Data Set 2 - Vehicles'!$A$2:$A$158,'Data Set 2 - Vehicles'!$B$2:$B$158,0,0,-1)</f>
        <v>1</v>
      </c>
      <c r="P146" s="1" t="str">
        <f>_xlfn.XLOOKUP(A146,'Data Set 2 - Vehicles'!$A$2:$A$158,'Data Set 2 - Vehicles'!$E$2:$E$158,"Not Found",0,1)</f>
        <v>LX470</v>
      </c>
      <c r="Q146" s="1" t="str">
        <f>IF(_xlfn.CONCAT(_xlfn.XLOOKUP(A146,'Data Set 2 - Vehicles'!$A$2:$A$158,'Data Set 2 - Vehicles'!$D$2:$D$158,"Not Found",0,1)," ",_xlfn.XLOOKUP(A146,'Data Set 2 - Vehicles'!$A$2:$A$158,'Data Set 2 - Vehicles'!$E$2:$E$158,"Not Found",0,1))="Not Found Not Found", "Not Found",_xlfn.CONCAT(_xlfn.XLOOKUP(A146,'Data Set 2 - Vehicles'!$A$2:$A$158,'Data Set 2 - Vehicles'!$D$2:$D$158,"Not Found",0,1)," ",_xlfn.XLOOKUP(A146,'Data Set 2 - Vehicles'!$A$2:$A$158,'Data Set 2 - Vehicles'!$E$2:$E$158,"Not Found",0,1)))</f>
        <v>Lexus LX470</v>
      </c>
      <c r="R146" s="5">
        <f>_xlfn.XLOOKUP(A146,'Data Set 2 - Vehicles'!$A$2:$A$158,'Data Set 2 - Vehicles'!$O$2:$O$158,"",0,1)</f>
        <v>44499</v>
      </c>
      <c r="S146" s="1" t="str">
        <f>IF(_xlfn.XLOOKUP(A146,'Data Set 2 - Vehicles'!$A$2:$A$158,'Data Set 2 - Vehicles'!$E$2:$E$158,"Has No Vehicle",0,-1)=P146,"Has Only One Vehicle",_xlfn.XLOOKUP(A146,'Data Set 2 - Vehicles'!$A$2:$A$158,'Data Set 2 - Vehicles'!$E$2:$E$158,"Has No Vehcile",0,-1))</f>
        <v>Has Only One Vehicle</v>
      </c>
      <c r="T146" s="1" t="str">
        <f>_xlfn.LET(_xlpm.mfcname,_xlfn.XLOOKUP(A146,'Data Set 2 - Vehicles'!$A$2:$A$158,'Data Set 2 - Vehicles'!$D$2:$D$158,"NF",0,-1),_xlpm.mdlname,_xlfn.XLOOKUP(A146,'Data Set 2 - Vehicles'!$A$2:$A$158,'Data Set 2 - Vehicles'!$E$2:$E$158,"NF",0,-1),_xlpm.vehcilename,_xlfn.CONCAT(_xlpm.mfcname," ",_xlpm.mdlname),IF(S146="Has No Vehicle","Has No Vehicle",IF(S146="Has Only One Vehicle","Has Only One Vehicle",IF(_xlpm.vehcilename="NF NF","Not Found",_xlpm.vehcilename))))</f>
        <v>Has Only One Vehicle</v>
      </c>
      <c r="U146" s="24" t="str">
        <f>_xlfn.LET(_xlpm.vserdate,_xlfn.XLOOKUP(A146,'Data Set 2 - Vehicles'!$A$2:$A$158,'Data Set 2 - Vehicles'!$O$2:$O$158,"NF",0,-1), IF(OR('Data Set 1'!S146="Has No Vehicle",'Data Set 1'!S146="Has Only One Vehicle"),'Data Set 1'!S146,_xlpm.vserdate))</f>
        <v>Has Only One Vehicle</v>
      </c>
      <c r="V146" s="1">
        <f>SUMIF('Data Set 2 - Vehicles'!$A$2:$A$158,'Data Set 1'!A146,'Data Set 2 - Vehicles'!$Q$2:$Q$158)</f>
        <v>181783</v>
      </c>
      <c r="W146" s="5">
        <f>_xlfn.LET(_xlpm.maxdate,_xlfn.MAXIFS('Data Set 2 - Vehicles'!$O$2:$O$158,'Data Set 2 - Vehicles'!$A$2:$A$158,'Data Set 1'!A146),IF(_xlpm.maxdate=0,"",_xlpm.maxdate))</f>
        <v>44499</v>
      </c>
      <c r="X146" s="1" t="str">
        <f t="shared" ca="1" si="11"/>
        <v>InActive</v>
      </c>
      <c r="Y146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100K-200K</v>
      </c>
    </row>
    <row r="147" spans="1:25" ht="12.75" x14ac:dyDescent="0.35">
      <c r="A147" s="17">
        <v>1365</v>
      </c>
      <c r="B147" s="1"/>
      <c r="C147" s="1"/>
      <c r="D147" s="7" t="s">
        <v>1076</v>
      </c>
      <c r="E147" s="1" t="s">
        <v>1077</v>
      </c>
      <c r="F147" s="1" t="s">
        <v>1078</v>
      </c>
      <c r="G147" s="11" t="s">
        <v>419</v>
      </c>
      <c r="H147" s="11">
        <v>7071</v>
      </c>
      <c r="I147" s="1" t="str">
        <f t="shared" si="8"/>
        <v xml:space="preserve"> </v>
      </c>
      <c r="J147" s="1" t="str">
        <f t="shared" si="9"/>
        <v>Womack &amp; Galich</v>
      </c>
      <c r="K147" s="1" t="str">
        <f t="shared" si="10"/>
        <v>2215</v>
      </c>
      <c r="L147" s="1" t="str">
        <f>VLOOKUP(A147,'Data Set 3 - Contacts'!$A$2:$F$136,5,FALSE)</f>
        <v>2018252514</v>
      </c>
      <c r="M147" s="1" t="str">
        <f>VLOOKUP(A147,'Data Set 3 - Contacts'!$A$2:$F$136,6,FALSE)</f>
        <v>2017498866</v>
      </c>
      <c r="N147" s="1" t="str">
        <f>VLOOKUP(A147,'Data Set 3 - Contacts'!$A$2:$F$136,4,FALSE)</f>
        <v>pdubaldi@hotmail.com</v>
      </c>
      <c r="O147" s="1">
        <f>_xlfn.XLOOKUP(A147,'Data Set 2 - Vehicles'!$A$2:$A$158,'Data Set 2 - Vehicles'!$B$2:$B$158,0,0,-1)</f>
        <v>1</v>
      </c>
      <c r="P147" s="1" t="str">
        <f>_xlfn.XLOOKUP(A147,'Data Set 2 - Vehicles'!$A$2:$A$158,'Data Set 2 - Vehicles'!$E$2:$E$158,"Not Found",0,1)</f>
        <v>Viper</v>
      </c>
      <c r="Q147" s="1" t="str">
        <f>IF(_xlfn.CONCAT(_xlfn.XLOOKUP(A147,'Data Set 2 - Vehicles'!$A$2:$A$158,'Data Set 2 - Vehicles'!$D$2:$D$158,"Not Found",0,1)," ",_xlfn.XLOOKUP(A147,'Data Set 2 - Vehicles'!$A$2:$A$158,'Data Set 2 - Vehicles'!$E$2:$E$158,"Not Found",0,1))="Not Found Not Found", "Not Found",_xlfn.CONCAT(_xlfn.XLOOKUP(A147,'Data Set 2 - Vehicles'!$A$2:$A$158,'Data Set 2 - Vehicles'!$D$2:$D$158,"Not Found",0,1)," ",_xlfn.XLOOKUP(A147,'Data Set 2 - Vehicles'!$A$2:$A$158,'Data Set 2 - Vehicles'!$E$2:$E$158,"Not Found",0,1)))</f>
        <v>Dodge Viper</v>
      </c>
      <c r="R147" s="5">
        <f>_xlfn.XLOOKUP(A147,'Data Set 2 - Vehicles'!$A$2:$A$158,'Data Set 2 - Vehicles'!$O$2:$O$158,"",0,1)</f>
        <v>42589</v>
      </c>
      <c r="S147" s="1" t="str">
        <f>IF(_xlfn.XLOOKUP(A147,'Data Set 2 - Vehicles'!$A$2:$A$158,'Data Set 2 - Vehicles'!$E$2:$E$158,"Has No Vehicle",0,-1)=P147,"Has Only One Vehicle",_xlfn.XLOOKUP(A147,'Data Set 2 - Vehicles'!$A$2:$A$158,'Data Set 2 - Vehicles'!$E$2:$E$158,"Has No Vehcile",0,-1))</f>
        <v>Has Only One Vehicle</v>
      </c>
      <c r="T147" s="1" t="str">
        <f>_xlfn.LET(_xlpm.mfcname,_xlfn.XLOOKUP(A147,'Data Set 2 - Vehicles'!$A$2:$A$158,'Data Set 2 - Vehicles'!$D$2:$D$158,"NF",0,-1),_xlpm.mdlname,_xlfn.XLOOKUP(A147,'Data Set 2 - Vehicles'!$A$2:$A$158,'Data Set 2 - Vehicles'!$E$2:$E$158,"NF",0,-1),_xlpm.vehcilename,_xlfn.CONCAT(_xlpm.mfcname," ",_xlpm.mdlname),IF(S147="Has No Vehicle","Has No Vehicle",IF(S147="Has Only One Vehicle","Has Only One Vehicle",IF(_xlpm.vehcilename="NF NF","Not Found",_xlpm.vehcilename))))</f>
        <v>Has Only One Vehicle</v>
      </c>
      <c r="U147" s="24" t="str">
        <f>_xlfn.LET(_xlpm.vserdate,_xlfn.XLOOKUP(A147,'Data Set 2 - Vehicles'!$A$2:$A$158,'Data Set 2 - Vehicles'!$O$2:$O$158,"NF",0,-1), IF(OR('Data Set 1'!S147="Has No Vehicle",'Data Set 1'!S147="Has Only One Vehicle"),'Data Set 1'!S147,_xlpm.vserdate))</f>
        <v>Has Only One Vehicle</v>
      </c>
      <c r="V147" s="1">
        <f>SUMIF('Data Set 2 - Vehicles'!$A$2:$A$158,'Data Set 1'!A147,'Data Set 2 - Vehicles'!$Q$2:$Q$158)</f>
        <v>260681</v>
      </c>
      <c r="W147" s="5">
        <f>_xlfn.LET(_xlpm.maxdate,_xlfn.MAXIFS('Data Set 2 - Vehicles'!$O$2:$O$158,'Data Set 2 - Vehicles'!$A$2:$A$158,'Data Set 1'!A147),IF(_xlpm.maxdate=0,"",_xlpm.maxdate))</f>
        <v>42589</v>
      </c>
      <c r="X147" s="1" t="str">
        <f t="shared" ca="1" si="11"/>
        <v>InActive</v>
      </c>
      <c r="Y147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48" spans="1:25" ht="12.75" x14ac:dyDescent="0.35">
      <c r="A148" s="17">
        <v>1407</v>
      </c>
      <c r="B148" s="1" t="s">
        <v>1080</v>
      </c>
      <c r="C148" s="1" t="s">
        <v>1081</v>
      </c>
      <c r="D148" s="7"/>
      <c r="E148" s="1" t="s">
        <v>1082</v>
      </c>
      <c r="F148" s="1" t="s">
        <v>557</v>
      </c>
      <c r="G148" s="11" t="s">
        <v>419</v>
      </c>
      <c r="H148" s="11">
        <v>7631</v>
      </c>
      <c r="I148" s="1" t="str">
        <f t="shared" si="8"/>
        <v>Arthur Farrow</v>
      </c>
      <c r="J148" s="1" t="str">
        <f t="shared" si="9"/>
        <v>Arthur Farrow</v>
      </c>
      <c r="K148" s="1" t="str">
        <f t="shared" si="10"/>
        <v>28</v>
      </c>
      <c r="L148" s="1" t="str">
        <f>VLOOKUP(A148,'Data Set 3 - Contacts'!$A$2:$F$136,5,FALSE)</f>
        <v>2012385688</v>
      </c>
      <c r="M148" s="1" t="str">
        <f>VLOOKUP(A148,'Data Set 3 - Contacts'!$A$2:$F$136,6,FALSE)</f>
        <v>2017724377</v>
      </c>
      <c r="N148" s="1" t="str">
        <f>VLOOKUP(A148,'Data Set 3 - Contacts'!$A$2:$F$136,4,FALSE)</f>
        <v>arthur.farrow@yahoo.com</v>
      </c>
      <c r="O148" s="1">
        <f>_xlfn.XLOOKUP(A148,'Data Set 2 - Vehicles'!$A$2:$A$158,'Data Set 2 - Vehicles'!$B$2:$B$158,0,0,-1)</f>
        <v>1</v>
      </c>
      <c r="P148" s="1" t="str">
        <f>_xlfn.XLOOKUP(A148,'Data Set 2 - Vehicles'!$A$2:$A$158,'Data Set 2 - Vehicles'!$E$2:$E$158,"Not Found",0,1)</f>
        <v>Neon</v>
      </c>
      <c r="Q148" s="1" t="str">
        <f>IF(_xlfn.CONCAT(_xlfn.XLOOKUP(A148,'Data Set 2 - Vehicles'!$A$2:$A$158,'Data Set 2 - Vehicles'!$D$2:$D$158,"Not Found",0,1)," ",_xlfn.XLOOKUP(A148,'Data Set 2 - Vehicles'!$A$2:$A$158,'Data Set 2 - Vehicles'!$E$2:$E$158,"Not Found",0,1))="Not Found Not Found", "Not Found",_xlfn.CONCAT(_xlfn.XLOOKUP(A148,'Data Set 2 - Vehicles'!$A$2:$A$158,'Data Set 2 - Vehicles'!$D$2:$D$158,"Not Found",0,1)," ",_xlfn.XLOOKUP(A148,'Data Set 2 - Vehicles'!$A$2:$A$158,'Data Set 2 - Vehicles'!$E$2:$E$158,"Not Found",0,1)))</f>
        <v>Dodge Neon</v>
      </c>
      <c r="R148" s="5">
        <f>_xlfn.XLOOKUP(A148,'Data Set 2 - Vehicles'!$A$2:$A$158,'Data Set 2 - Vehicles'!$O$2:$O$158,"",0,1)</f>
        <v>46003</v>
      </c>
      <c r="S148" s="1" t="str">
        <f>IF(_xlfn.XLOOKUP(A148,'Data Set 2 - Vehicles'!$A$2:$A$158,'Data Set 2 - Vehicles'!$E$2:$E$158,"Has No Vehicle",0,-1)=P148,"Has Only One Vehicle",_xlfn.XLOOKUP(A148,'Data Set 2 - Vehicles'!$A$2:$A$158,'Data Set 2 - Vehicles'!$E$2:$E$158,"Has No Vehcile",0,-1))</f>
        <v>Has Only One Vehicle</v>
      </c>
      <c r="T148" s="1" t="str">
        <f>_xlfn.LET(_xlpm.mfcname,_xlfn.XLOOKUP(A148,'Data Set 2 - Vehicles'!$A$2:$A$158,'Data Set 2 - Vehicles'!$D$2:$D$158,"NF",0,-1),_xlpm.mdlname,_xlfn.XLOOKUP(A148,'Data Set 2 - Vehicles'!$A$2:$A$158,'Data Set 2 - Vehicles'!$E$2:$E$158,"NF",0,-1),_xlpm.vehcilename,_xlfn.CONCAT(_xlpm.mfcname," ",_xlpm.mdlname),IF(S148="Has No Vehicle","Has No Vehicle",IF(S148="Has Only One Vehicle","Has Only One Vehicle",IF(_xlpm.vehcilename="NF NF","Not Found",_xlpm.vehcilename))))</f>
        <v>Has Only One Vehicle</v>
      </c>
      <c r="U148" s="24" t="str">
        <f>_xlfn.LET(_xlpm.vserdate,_xlfn.XLOOKUP(A148,'Data Set 2 - Vehicles'!$A$2:$A$158,'Data Set 2 - Vehicles'!$O$2:$O$158,"NF",0,-1), IF(OR('Data Set 1'!S148="Has No Vehicle",'Data Set 1'!S148="Has Only One Vehicle"),'Data Set 1'!S148,_xlpm.vserdate))</f>
        <v>Has Only One Vehicle</v>
      </c>
      <c r="V148" s="1">
        <f>SUMIF('Data Set 2 - Vehicles'!$A$2:$A$158,'Data Set 1'!A148,'Data Set 2 - Vehicles'!$Q$2:$Q$158)</f>
        <v>243363</v>
      </c>
      <c r="W148" s="5">
        <f>_xlfn.LET(_xlpm.maxdate,_xlfn.MAXIFS('Data Set 2 - Vehicles'!$O$2:$O$158,'Data Set 2 - Vehicles'!$A$2:$A$158,'Data Set 1'!A148),IF(_xlpm.maxdate=0,"",_xlpm.maxdate))</f>
        <v>46003</v>
      </c>
      <c r="X148" s="1" t="str">
        <f t="shared" ca="1" si="11"/>
        <v>Active</v>
      </c>
      <c r="Y148" s="1" t="str">
        <f>IF(tblCustomers[[#This Row],[total mileage]]=0,"Customer has No Car", IF(AND(tblCustomers[[#This Row],[total mileage]]&gt;0,tblCustomers[[#This Row],[total mileage]]&lt;=100000),"50K - 100K", IF(AND(tblCustomers[[#This Row],[total mileage]]&gt;100000,tblCustomers[[#This Row],[total mileage]]&lt;=200000),"100K-200K","Mileage&gt;200k")))</f>
        <v>Mileage&gt;200k</v>
      </c>
    </row>
    <row r="149" spans="1:25" ht="12.75" x14ac:dyDescent="0.35">
      <c r="A149" s="15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5"/>
      <c r="S149" s="1"/>
      <c r="T149" s="1"/>
      <c r="U149" s="24"/>
      <c r="V149" s="1"/>
      <c r="W149" s="5"/>
      <c r="X149" s="1"/>
      <c r="Y149" s="1"/>
    </row>
    <row r="150" spans="1:25" ht="12.75" x14ac:dyDescent="0.35">
      <c r="A150" s="15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5"/>
      <c r="S150" s="1"/>
      <c r="T150" s="1"/>
      <c r="U150" s="24"/>
      <c r="V150" s="1"/>
      <c r="W150" s="5"/>
      <c r="X150" s="1"/>
      <c r="Y150" s="1"/>
    </row>
    <row r="151" spans="1:25" ht="12.75" x14ac:dyDescent="0.35">
      <c r="A151" s="15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5"/>
      <c r="S151" s="1"/>
      <c r="T151" s="1"/>
      <c r="U151" s="24"/>
      <c r="V151" s="1"/>
      <c r="W151" s="5"/>
      <c r="X151" s="1"/>
      <c r="Y151" s="1"/>
    </row>
    <row r="152" spans="1:25" ht="12.75" x14ac:dyDescent="0.35">
      <c r="A152" s="15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5"/>
      <c r="S152" s="1"/>
      <c r="T152" s="1"/>
      <c r="U152" s="24"/>
      <c r="V152" s="1"/>
      <c r="W152" s="5"/>
      <c r="X152" s="1"/>
      <c r="Y152" s="1"/>
    </row>
    <row r="153" spans="1:25" ht="12.75" x14ac:dyDescent="0.35">
      <c r="A153" s="15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5"/>
      <c r="S153" s="1"/>
      <c r="T153" s="1"/>
      <c r="U153" s="24"/>
      <c r="V153" s="1"/>
      <c r="W153" s="5"/>
      <c r="X153" s="1"/>
      <c r="Y153" s="1"/>
    </row>
    <row r="154" spans="1:25" ht="12.75" x14ac:dyDescent="0.35">
      <c r="A154" s="15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5"/>
      <c r="S154" s="1"/>
      <c r="T154" s="1"/>
      <c r="U154" s="24"/>
      <c r="V154" s="1"/>
      <c r="W154" s="5"/>
      <c r="X154" s="1"/>
      <c r="Y154" s="1"/>
    </row>
    <row r="155" spans="1:25" ht="12.75" x14ac:dyDescent="0.35">
      <c r="A155" s="15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5"/>
      <c r="S155" s="1"/>
      <c r="T155" s="1"/>
      <c r="U155" s="24"/>
      <c r="V155" s="1"/>
      <c r="W155" s="5"/>
      <c r="X155" s="1"/>
      <c r="Y155" s="1"/>
    </row>
    <row r="156" spans="1:25" ht="12.75" x14ac:dyDescent="0.35">
      <c r="A156" s="15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5"/>
      <c r="S156" s="1"/>
      <c r="T156" s="1"/>
      <c r="U156" s="24"/>
      <c r="V156" s="1"/>
      <c r="W156" s="5"/>
      <c r="X156" s="1"/>
      <c r="Y156" s="1"/>
    </row>
    <row r="157" spans="1:25" ht="12.75" x14ac:dyDescent="0.35">
      <c r="A157" s="15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5"/>
      <c r="S157" s="1"/>
      <c r="T157" s="1"/>
      <c r="U157" s="24"/>
      <c r="V157" s="1"/>
      <c r="W157" s="5"/>
      <c r="X157" s="1"/>
      <c r="Y157" s="1"/>
    </row>
    <row r="158" spans="1:25" ht="12.75" x14ac:dyDescent="0.35">
      <c r="A158" s="15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5"/>
      <c r="S158" s="1"/>
      <c r="T158" s="1"/>
      <c r="U158" s="24"/>
      <c r="V158" s="1"/>
      <c r="W158" s="5"/>
      <c r="X158" s="1"/>
      <c r="Y158" s="1"/>
    </row>
    <row r="159" spans="1:25" ht="12.75" x14ac:dyDescent="0.35">
      <c r="A159" s="15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5"/>
      <c r="S159" s="1"/>
      <c r="T159" s="1"/>
      <c r="U159" s="24"/>
      <c r="V159" s="1"/>
      <c r="W159" s="5"/>
      <c r="X159" s="1"/>
      <c r="Y159" s="1"/>
    </row>
    <row r="160" spans="1:25" ht="12.75" x14ac:dyDescent="0.35">
      <c r="A160" s="15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5"/>
      <c r="S160" s="1"/>
      <c r="T160" s="1"/>
      <c r="U160" s="24"/>
      <c r="V160" s="1"/>
      <c r="W160" s="5"/>
      <c r="X160" s="1"/>
      <c r="Y160" s="1"/>
    </row>
    <row r="161" spans="1:25" ht="12.75" x14ac:dyDescent="0.35">
      <c r="A161" s="1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5"/>
      <c r="S161" s="1"/>
      <c r="T161" s="1"/>
      <c r="U161" s="24"/>
      <c r="V161" s="1"/>
      <c r="W161" s="5"/>
      <c r="X161" s="1"/>
      <c r="Y161" s="1"/>
    </row>
    <row r="162" spans="1:25" ht="12.75" x14ac:dyDescent="0.35">
      <c r="A162" s="15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5"/>
      <c r="S162" s="1"/>
      <c r="T162" s="1"/>
      <c r="U162" s="24"/>
      <c r="V162" s="1"/>
      <c r="W162" s="5"/>
      <c r="X162" s="1"/>
      <c r="Y162" s="1"/>
    </row>
    <row r="163" spans="1:25" ht="12.75" x14ac:dyDescent="0.35">
      <c r="A163" s="15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5"/>
      <c r="S163" s="1"/>
      <c r="T163" s="1"/>
      <c r="U163" s="24"/>
      <c r="V163" s="1"/>
      <c r="W163" s="5"/>
      <c r="X163" s="1"/>
      <c r="Y163" s="1"/>
    </row>
    <row r="164" spans="1:25" ht="12.75" x14ac:dyDescent="0.35">
      <c r="A164" s="15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5"/>
      <c r="S164" s="1"/>
      <c r="T164" s="1"/>
      <c r="U164" s="24"/>
      <c r="V164" s="1"/>
      <c r="W164" s="5"/>
      <c r="X164" s="1"/>
      <c r="Y164" s="1"/>
    </row>
    <row r="165" spans="1:25" ht="12.75" x14ac:dyDescent="0.35">
      <c r="A165" s="15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5"/>
      <c r="S165" s="1"/>
      <c r="T165" s="1"/>
      <c r="U165" s="24"/>
      <c r="V165" s="1"/>
      <c r="W165" s="5"/>
      <c r="X165" s="1"/>
      <c r="Y165" s="1"/>
    </row>
    <row r="166" spans="1:25" ht="12.75" x14ac:dyDescent="0.35">
      <c r="A166" s="15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5"/>
      <c r="S166" s="1"/>
      <c r="T166" s="1"/>
      <c r="U166" s="24"/>
      <c r="V166" s="1"/>
      <c r="W166" s="5"/>
      <c r="X166" s="1"/>
      <c r="Y166" s="1"/>
    </row>
    <row r="167" spans="1:25" ht="12.75" x14ac:dyDescent="0.35">
      <c r="A167" s="15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5"/>
      <c r="S167" s="1"/>
      <c r="T167" s="1"/>
      <c r="U167" s="24"/>
      <c r="V167" s="1"/>
      <c r="W167" s="5"/>
      <c r="X167" s="1"/>
      <c r="Y167" s="1"/>
    </row>
    <row r="168" spans="1:25" ht="12.75" x14ac:dyDescent="0.35">
      <c r="A168" s="15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5"/>
      <c r="S168" s="1"/>
      <c r="T168" s="1"/>
      <c r="U168" s="24"/>
      <c r="V168" s="1"/>
      <c r="W168" s="5"/>
      <c r="X168" s="1"/>
      <c r="Y168" s="1"/>
    </row>
    <row r="169" spans="1:25" ht="12.75" x14ac:dyDescent="0.35">
      <c r="A169" s="15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5"/>
      <c r="S169" s="1"/>
      <c r="T169" s="1"/>
      <c r="U169" s="24"/>
      <c r="V169" s="1"/>
      <c r="W169" s="5"/>
      <c r="X169" s="1"/>
      <c r="Y169" s="1"/>
    </row>
    <row r="170" spans="1:25" ht="12.75" x14ac:dyDescent="0.35">
      <c r="A170" s="15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5"/>
      <c r="S170" s="1"/>
      <c r="T170" s="1"/>
      <c r="U170" s="24"/>
      <c r="V170" s="1"/>
      <c r="W170" s="5"/>
      <c r="X170" s="1"/>
      <c r="Y170" s="1"/>
    </row>
    <row r="171" spans="1:25" ht="12.75" x14ac:dyDescent="0.35">
      <c r="A171" s="15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5"/>
      <c r="S171" s="1"/>
      <c r="T171" s="1"/>
      <c r="U171" s="24"/>
      <c r="V171" s="1"/>
      <c r="W171" s="5"/>
      <c r="X171" s="1"/>
      <c r="Y171" s="1"/>
    </row>
    <row r="172" spans="1:25" ht="12.75" x14ac:dyDescent="0.35">
      <c r="A172" s="15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5"/>
      <c r="S172" s="1"/>
      <c r="T172" s="1"/>
      <c r="U172" s="24"/>
      <c r="V172" s="1"/>
      <c r="W172" s="5"/>
      <c r="X172" s="1"/>
      <c r="Y172" s="1"/>
    </row>
    <row r="173" spans="1:25" ht="12.75" x14ac:dyDescent="0.35">
      <c r="A173" s="15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5"/>
      <c r="S173" s="1"/>
      <c r="T173" s="1"/>
      <c r="U173" s="24"/>
      <c r="V173" s="1"/>
      <c r="W173" s="5"/>
      <c r="X173" s="1"/>
      <c r="Y173" s="1"/>
    </row>
    <row r="174" spans="1:25" ht="12.75" x14ac:dyDescent="0.35">
      <c r="A174" s="15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5"/>
      <c r="S174" s="1"/>
      <c r="T174" s="1"/>
      <c r="U174" s="24"/>
      <c r="V174" s="1"/>
      <c r="W174" s="5"/>
      <c r="X174" s="1"/>
      <c r="Y174" s="1"/>
    </row>
    <row r="175" spans="1:25" ht="12.75" x14ac:dyDescent="0.35">
      <c r="A175" s="1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5"/>
      <c r="S175" s="1"/>
      <c r="T175" s="1"/>
      <c r="U175" s="24"/>
      <c r="V175" s="1"/>
      <c r="W175" s="5"/>
      <c r="X175" s="1"/>
      <c r="Y175" s="1"/>
    </row>
    <row r="176" spans="1:25" ht="12.75" x14ac:dyDescent="0.35">
      <c r="A176" s="15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5"/>
      <c r="S176" s="1"/>
      <c r="T176" s="1"/>
      <c r="U176" s="24"/>
      <c r="V176" s="1"/>
      <c r="W176" s="5"/>
      <c r="X176" s="1"/>
      <c r="Y176" s="1"/>
    </row>
    <row r="177" spans="1:25" ht="12.75" x14ac:dyDescent="0.35">
      <c r="A177" s="15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5"/>
      <c r="S177" s="1"/>
      <c r="T177" s="1"/>
      <c r="U177" s="24"/>
      <c r="V177" s="1"/>
      <c r="W177" s="5"/>
      <c r="X177" s="1"/>
      <c r="Y177" s="1"/>
    </row>
    <row r="178" spans="1:25" ht="12.75" x14ac:dyDescent="0.35">
      <c r="A178" s="1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5"/>
      <c r="S178" s="1"/>
      <c r="T178" s="1"/>
      <c r="U178" s="24"/>
      <c r="V178" s="1"/>
      <c r="W178" s="5"/>
      <c r="X178" s="1"/>
      <c r="Y178" s="1"/>
    </row>
    <row r="179" spans="1:25" ht="12.75" x14ac:dyDescent="0.35">
      <c r="A179" s="1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5"/>
      <c r="S179" s="1"/>
      <c r="T179" s="1"/>
      <c r="U179" s="24"/>
      <c r="V179" s="1"/>
      <c r="W179" s="5"/>
      <c r="X179" s="1"/>
      <c r="Y179" s="1"/>
    </row>
    <row r="180" spans="1:25" ht="12.75" x14ac:dyDescent="0.35">
      <c r="A180" s="15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5"/>
      <c r="S180" s="1"/>
      <c r="T180" s="1"/>
      <c r="U180" s="24"/>
      <c r="V180" s="1"/>
      <c r="W180" s="5"/>
      <c r="X180" s="1"/>
      <c r="Y180" s="1"/>
    </row>
    <row r="181" spans="1:25" ht="12.75" x14ac:dyDescent="0.35">
      <c r="A181" s="1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5"/>
      <c r="S181" s="1"/>
      <c r="T181" s="1"/>
      <c r="U181" s="24"/>
      <c r="V181" s="1"/>
      <c r="W181" s="5"/>
      <c r="X181" s="1"/>
      <c r="Y181" s="1"/>
    </row>
    <row r="182" spans="1:25" ht="12.75" x14ac:dyDescent="0.35">
      <c r="A182" s="15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5"/>
      <c r="S182" s="1"/>
      <c r="T182" s="1"/>
      <c r="U182" s="24"/>
      <c r="V182" s="1"/>
      <c r="W182" s="5"/>
      <c r="X182" s="1"/>
      <c r="Y182" s="1"/>
    </row>
    <row r="183" spans="1:25" ht="12.75" x14ac:dyDescent="0.35">
      <c r="A183" s="1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5"/>
      <c r="S183" s="1"/>
      <c r="T183" s="1"/>
      <c r="U183" s="24"/>
      <c r="V183" s="1"/>
      <c r="W183" s="5"/>
      <c r="X183" s="1"/>
      <c r="Y183" s="1"/>
    </row>
    <row r="184" spans="1:25" ht="12.75" x14ac:dyDescent="0.35">
      <c r="A184" s="15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5"/>
      <c r="S184" s="1"/>
      <c r="T184" s="1"/>
      <c r="U184" s="24"/>
      <c r="V184" s="1"/>
      <c r="W184" s="5"/>
      <c r="X184" s="1"/>
      <c r="Y184" s="1"/>
    </row>
    <row r="185" spans="1:25" ht="12.75" x14ac:dyDescent="0.35">
      <c r="A185" s="1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5"/>
      <c r="S185" s="1"/>
      <c r="T185" s="1"/>
      <c r="U185" s="24"/>
      <c r="V185" s="1"/>
      <c r="W185" s="5"/>
      <c r="X185" s="1"/>
      <c r="Y185" s="1"/>
    </row>
    <row r="186" spans="1:25" ht="12.75" x14ac:dyDescent="0.35">
      <c r="A186" s="15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5"/>
      <c r="S186" s="1"/>
      <c r="T186" s="1"/>
      <c r="U186" s="24"/>
      <c r="V186" s="1"/>
      <c r="W186" s="5"/>
      <c r="X186" s="1"/>
      <c r="Y186" s="1"/>
    </row>
    <row r="187" spans="1:25" ht="12.75" x14ac:dyDescent="0.35">
      <c r="A187" s="15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5"/>
      <c r="S187" s="1"/>
      <c r="T187" s="1"/>
      <c r="U187" s="24"/>
      <c r="V187" s="1"/>
      <c r="W187" s="5"/>
      <c r="X187" s="1"/>
      <c r="Y187" s="1"/>
    </row>
    <row r="188" spans="1:25" ht="12.75" x14ac:dyDescent="0.35">
      <c r="A188" s="15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5"/>
      <c r="S188" s="1"/>
      <c r="T188" s="1"/>
      <c r="U188" s="24"/>
      <c r="V188" s="1"/>
      <c r="W188" s="5"/>
      <c r="X188" s="1"/>
      <c r="Y188" s="1"/>
    </row>
    <row r="189" spans="1:25" ht="12.75" x14ac:dyDescent="0.35">
      <c r="A189" s="15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5"/>
      <c r="S189" s="1"/>
      <c r="T189" s="1"/>
      <c r="U189" s="24"/>
      <c r="V189" s="1"/>
      <c r="W189" s="5"/>
      <c r="X189" s="1"/>
      <c r="Y189" s="1"/>
    </row>
    <row r="190" spans="1:25" ht="12.75" x14ac:dyDescent="0.35">
      <c r="A190" s="15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5"/>
      <c r="S190" s="1"/>
      <c r="T190" s="1"/>
      <c r="U190" s="24"/>
      <c r="V190" s="1"/>
      <c r="W190" s="5"/>
      <c r="X190" s="1"/>
      <c r="Y190" s="1"/>
    </row>
    <row r="191" spans="1:25" ht="12.75" x14ac:dyDescent="0.35">
      <c r="A191" s="1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5"/>
      <c r="S191" s="1"/>
      <c r="T191" s="1"/>
      <c r="U191" s="24"/>
      <c r="V191" s="1"/>
      <c r="W191" s="5"/>
      <c r="X191" s="1"/>
      <c r="Y191" s="1"/>
    </row>
    <row r="192" spans="1:25" ht="12.75" x14ac:dyDescent="0.35">
      <c r="A192" s="1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5"/>
      <c r="S192" s="1"/>
      <c r="T192" s="1"/>
      <c r="U192" s="24"/>
      <c r="V192" s="1"/>
      <c r="W192" s="5"/>
      <c r="X192" s="1"/>
      <c r="Y192" s="1"/>
    </row>
    <row r="193" spans="1:25" ht="12.75" x14ac:dyDescent="0.35">
      <c r="A193" s="1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5"/>
      <c r="S193" s="1"/>
      <c r="T193" s="1"/>
      <c r="U193" s="24"/>
      <c r="V193" s="1"/>
      <c r="W193" s="5"/>
      <c r="X193" s="1"/>
      <c r="Y193" s="1"/>
    </row>
    <row r="194" spans="1:25" ht="12.75" x14ac:dyDescent="0.35">
      <c r="A194" s="1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5"/>
      <c r="S194" s="1"/>
      <c r="T194" s="1"/>
      <c r="U194" s="24"/>
      <c r="V194" s="1"/>
      <c r="W194" s="5"/>
      <c r="X194" s="1"/>
      <c r="Y194" s="1"/>
    </row>
    <row r="195" spans="1:25" ht="12.75" x14ac:dyDescent="0.35">
      <c r="A195" s="1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5"/>
      <c r="S195" s="1"/>
      <c r="T195" s="1"/>
      <c r="U195" s="24"/>
      <c r="V195" s="1"/>
      <c r="W195" s="5"/>
      <c r="X195" s="1"/>
      <c r="Y195" s="1"/>
    </row>
    <row r="196" spans="1:25" ht="12.75" x14ac:dyDescent="0.35">
      <c r="A196" s="1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5"/>
      <c r="S196" s="1"/>
      <c r="T196" s="1"/>
      <c r="U196" s="24"/>
      <c r="V196" s="1"/>
      <c r="W196" s="5"/>
      <c r="X196" s="1"/>
      <c r="Y196" s="1"/>
    </row>
    <row r="197" spans="1:25" ht="12.75" x14ac:dyDescent="0.35">
      <c r="A197" s="1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5"/>
      <c r="S197" s="1"/>
      <c r="T197" s="1"/>
      <c r="U197" s="24"/>
      <c r="V197" s="1"/>
      <c r="W197" s="5"/>
      <c r="X197" s="1"/>
      <c r="Y197" s="1"/>
    </row>
    <row r="198" spans="1:25" ht="12.75" x14ac:dyDescent="0.35">
      <c r="A198" s="1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5"/>
      <c r="S198" s="1"/>
      <c r="T198" s="1"/>
      <c r="U198" s="24"/>
      <c r="V198" s="1"/>
      <c r="W198" s="5"/>
      <c r="X198" s="1"/>
      <c r="Y198" s="1"/>
    </row>
    <row r="199" spans="1:25" ht="12.75" x14ac:dyDescent="0.35">
      <c r="A199" s="1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5"/>
      <c r="S199" s="1"/>
      <c r="T199" s="1"/>
      <c r="U199" s="24"/>
      <c r="V199" s="1"/>
      <c r="W199" s="5"/>
      <c r="X199" s="1"/>
      <c r="Y199" s="1"/>
    </row>
    <row r="200" spans="1:25" ht="12.75" x14ac:dyDescent="0.35">
      <c r="A200" s="1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5"/>
      <c r="S200" s="1"/>
      <c r="T200" s="1"/>
      <c r="U200" s="24"/>
      <c r="V200" s="1"/>
      <c r="W200" s="5"/>
      <c r="X200" s="1"/>
      <c r="Y200" s="1"/>
    </row>
    <row r="201" spans="1:25" ht="12.75" x14ac:dyDescent="0.35">
      <c r="A201" s="1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5"/>
      <c r="S201" s="1"/>
      <c r="T201" s="1"/>
      <c r="U201" s="24"/>
      <c r="V201" s="1"/>
      <c r="W201" s="5"/>
      <c r="X201" s="1"/>
      <c r="Y201" s="1"/>
    </row>
    <row r="202" spans="1:25" ht="12.75" x14ac:dyDescent="0.35">
      <c r="A202" s="1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5"/>
      <c r="S202" s="1"/>
      <c r="T202" s="1"/>
      <c r="U202" s="24"/>
      <c r="V202" s="1"/>
      <c r="W202" s="5"/>
      <c r="X202" s="1"/>
      <c r="Y202" s="1"/>
    </row>
    <row r="203" spans="1:25" ht="12.75" x14ac:dyDescent="0.35">
      <c r="A203" s="1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5"/>
      <c r="S203" s="1"/>
      <c r="T203" s="1"/>
      <c r="U203" s="24"/>
      <c r="V203" s="1"/>
      <c r="W203" s="5"/>
      <c r="X203" s="1"/>
      <c r="Y203" s="1"/>
    </row>
    <row r="204" spans="1:25" ht="12.75" x14ac:dyDescent="0.35">
      <c r="A204" s="1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5"/>
      <c r="S204" s="1"/>
      <c r="T204" s="1"/>
      <c r="U204" s="24"/>
      <c r="V204" s="1"/>
      <c r="W204" s="5"/>
      <c r="X204" s="1"/>
      <c r="Y204" s="1"/>
    </row>
    <row r="205" spans="1:25" ht="12.75" x14ac:dyDescent="0.35">
      <c r="A205" s="1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5"/>
      <c r="S205" s="1"/>
      <c r="T205" s="1"/>
      <c r="U205" s="24"/>
      <c r="V205" s="1"/>
      <c r="W205" s="5"/>
      <c r="X205" s="1"/>
      <c r="Y205" s="1"/>
    </row>
    <row r="206" spans="1:25" ht="12.75" x14ac:dyDescent="0.35">
      <c r="A206" s="1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5"/>
      <c r="S206" s="1"/>
      <c r="T206" s="1"/>
      <c r="U206" s="24"/>
      <c r="V206" s="1"/>
      <c r="W206" s="5"/>
      <c r="X206" s="1"/>
      <c r="Y206" s="1"/>
    </row>
    <row r="207" spans="1:25" ht="12.75" x14ac:dyDescent="0.35">
      <c r="A207" s="1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5"/>
      <c r="S207" s="1"/>
      <c r="T207" s="1"/>
      <c r="U207" s="24"/>
      <c r="V207" s="1"/>
      <c r="W207" s="5"/>
      <c r="X207" s="1"/>
      <c r="Y207" s="1"/>
    </row>
    <row r="208" spans="1:25" ht="12.75" x14ac:dyDescent="0.35">
      <c r="A208" s="1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5"/>
      <c r="S208" s="1"/>
      <c r="T208" s="1"/>
      <c r="U208" s="24"/>
      <c r="V208" s="1"/>
      <c r="W208" s="5"/>
      <c r="X208" s="1"/>
      <c r="Y208" s="1"/>
    </row>
    <row r="209" spans="1:25" ht="12.75" x14ac:dyDescent="0.35">
      <c r="A209" s="1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5"/>
      <c r="S209" s="1"/>
      <c r="T209" s="1"/>
      <c r="U209" s="24"/>
      <c r="V209" s="1"/>
      <c r="W209" s="5"/>
      <c r="X209" s="1"/>
      <c r="Y209" s="1"/>
    </row>
    <row r="210" spans="1:25" ht="12.75" x14ac:dyDescent="0.35">
      <c r="A210" s="1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5"/>
      <c r="S210" s="1"/>
      <c r="T210" s="1"/>
      <c r="U210" s="24"/>
      <c r="V210" s="1"/>
      <c r="W210" s="5"/>
      <c r="X210" s="1"/>
      <c r="Y210" s="1"/>
    </row>
    <row r="211" spans="1:25" ht="12.75" x14ac:dyDescent="0.35">
      <c r="A211" s="1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5"/>
      <c r="S211" s="1"/>
      <c r="T211" s="1"/>
      <c r="U211" s="24"/>
      <c r="V211" s="1"/>
      <c r="W211" s="5"/>
      <c r="X211" s="1"/>
      <c r="Y211" s="1"/>
    </row>
    <row r="212" spans="1:25" ht="12.75" x14ac:dyDescent="0.35">
      <c r="A212" s="1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5"/>
      <c r="S212" s="1"/>
      <c r="T212" s="1"/>
      <c r="U212" s="24"/>
      <c r="V212" s="1"/>
      <c r="W212" s="5"/>
      <c r="X212" s="1"/>
      <c r="Y212" s="1"/>
    </row>
    <row r="213" spans="1:25" ht="12.75" x14ac:dyDescent="0.35">
      <c r="A213" s="1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5"/>
      <c r="S213" s="1"/>
      <c r="T213" s="1"/>
      <c r="U213" s="24"/>
      <c r="V213" s="1"/>
      <c r="W213" s="5"/>
      <c r="X213" s="1"/>
      <c r="Y213" s="1"/>
    </row>
    <row r="214" spans="1:25" ht="12.75" x14ac:dyDescent="0.35">
      <c r="A214" s="1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5"/>
      <c r="S214" s="1"/>
      <c r="T214" s="1"/>
      <c r="U214" s="24"/>
      <c r="V214" s="1"/>
      <c r="W214" s="5"/>
      <c r="X214" s="1"/>
      <c r="Y214" s="1"/>
    </row>
    <row r="215" spans="1:25" ht="12.75" x14ac:dyDescent="0.35">
      <c r="A215" s="1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5"/>
      <c r="S215" s="1"/>
      <c r="T215" s="1"/>
      <c r="U215" s="24"/>
      <c r="V215" s="1"/>
      <c r="W215" s="5"/>
      <c r="X215" s="1"/>
      <c r="Y215" s="1"/>
    </row>
    <row r="216" spans="1:25" ht="12.75" x14ac:dyDescent="0.35">
      <c r="A216" s="1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5"/>
      <c r="S216" s="1"/>
      <c r="T216" s="1"/>
      <c r="U216" s="24"/>
      <c r="V216" s="1"/>
      <c r="W216" s="5"/>
      <c r="X216" s="1"/>
      <c r="Y216" s="1"/>
    </row>
    <row r="217" spans="1:25" ht="12.75" x14ac:dyDescent="0.35">
      <c r="A217" s="1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5"/>
      <c r="S217" s="1"/>
      <c r="T217" s="1"/>
      <c r="U217" s="24"/>
      <c r="V217" s="1"/>
      <c r="W217" s="5"/>
      <c r="X217" s="1"/>
      <c r="Y217" s="1"/>
    </row>
    <row r="218" spans="1:25" ht="12.75" x14ac:dyDescent="0.35">
      <c r="A218" s="1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5"/>
      <c r="S218" s="1"/>
      <c r="T218" s="1"/>
      <c r="U218" s="24"/>
      <c r="V218" s="1"/>
      <c r="W218" s="5"/>
      <c r="X218" s="1"/>
      <c r="Y218" s="1"/>
    </row>
    <row r="219" spans="1:25" ht="12.75" x14ac:dyDescent="0.35">
      <c r="A219" s="1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5"/>
      <c r="S219" s="1"/>
      <c r="T219" s="1"/>
      <c r="U219" s="24"/>
      <c r="V219" s="1"/>
      <c r="W219" s="5"/>
      <c r="X219" s="1"/>
      <c r="Y219" s="1"/>
    </row>
    <row r="220" spans="1:25" ht="12.75" x14ac:dyDescent="0.35">
      <c r="A220" s="1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5"/>
      <c r="S220" s="1"/>
      <c r="T220" s="1"/>
      <c r="U220" s="24"/>
      <c r="V220" s="1"/>
      <c r="W220" s="5"/>
      <c r="X220" s="1"/>
      <c r="Y220" s="1"/>
    </row>
    <row r="221" spans="1:25" ht="12.75" x14ac:dyDescent="0.35">
      <c r="A221" s="1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5"/>
      <c r="S221" s="1"/>
      <c r="T221" s="1"/>
      <c r="U221" s="24"/>
      <c r="V221" s="1"/>
      <c r="W221" s="5"/>
      <c r="X221" s="1"/>
      <c r="Y221" s="1"/>
    </row>
    <row r="222" spans="1:25" ht="12.75" x14ac:dyDescent="0.35">
      <c r="A222" s="1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5"/>
      <c r="S222" s="1"/>
      <c r="T222" s="1"/>
      <c r="U222" s="24"/>
      <c r="V222" s="1"/>
      <c r="W222" s="5"/>
      <c r="X222" s="1"/>
      <c r="Y222" s="1"/>
    </row>
    <row r="223" spans="1:25" ht="12.75" x14ac:dyDescent="0.35">
      <c r="A223" s="1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5"/>
      <c r="S223" s="1"/>
      <c r="T223" s="1"/>
      <c r="U223" s="24"/>
      <c r="V223" s="1"/>
      <c r="W223" s="5"/>
      <c r="X223" s="1"/>
      <c r="Y223" s="1"/>
    </row>
    <row r="224" spans="1:25" ht="12.75" x14ac:dyDescent="0.35">
      <c r="A224" s="1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5"/>
      <c r="S224" s="1"/>
      <c r="T224" s="1"/>
      <c r="U224" s="24"/>
      <c r="V224" s="1"/>
      <c r="W224" s="5"/>
      <c r="X224" s="1"/>
      <c r="Y224" s="1"/>
    </row>
    <row r="225" spans="1:25" ht="12.75" x14ac:dyDescent="0.35">
      <c r="A225" s="1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5"/>
      <c r="S225" s="1"/>
      <c r="T225" s="1"/>
      <c r="U225" s="24"/>
      <c r="V225" s="1"/>
      <c r="W225" s="5"/>
      <c r="X225" s="1"/>
      <c r="Y225" s="1"/>
    </row>
    <row r="226" spans="1:25" ht="12.75" x14ac:dyDescent="0.35">
      <c r="A226" s="1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5"/>
      <c r="S226" s="1"/>
      <c r="T226" s="1"/>
      <c r="U226" s="24"/>
      <c r="V226" s="1"/>
      <c r="W226" s="5"/>
      <c r="X226" s="1"/>
      <c r="Y226" s="1"/>
    </row>
    <row r="227" spans="1:25" ht="12.75" x14ac:dyDescent="0.35">
      <c r="A227" s="1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5"/>
      <c r="S227" s="1"/>
      <c r="T227" s="1"/>
      <c r="U227" s="24"/>
      <c r="V227" s="1"/>
      <c r="W227" s="5"/>
      <c r="X227" s="1"/>
      <c r="Y227" s="1"/>
    </row>
    <row r="228" spans="1:25" ht="12.75" x14ac:dyDescent="0.35">
      <c r="A228" s="1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5"/>
      <c r="S228" s="1"/>
      <c r="T228" s="1"/>
      <c r="U228" s="24"/>
      <c r="V228" s="1"/>
      <c r="W228" s="5"/>
      <c r="X228" s="1"/>
      <c r="Y228" s="1"/>
    </row>
    <row r="229" spans="1:25" ht="12.75" x14ac:dyDescent="0.35">
      <c r="A229" s="1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5"/>
      <c r="S229" s="1"/>
      <c r="T229" s="1"/>
      <c r="U229" s="24"/>
      <c r="V229" s="1"/>
      <c r="W229" s="5"/>
      <c r="X229" s="1"/>
      <c r="Y229" s="1"/>
    </row>
    <row r="230" spans="1:25" ht="12.75" x14ac:dyDescent="0.35">
      <c r="A230" s="1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5"/>
      <c r="S230" s="1"/>
      <c r="T230" s="1"/>
      <c r="U230" s="24"/>
      <c r="V230" s="1"/>
      <c r="W230" s="5"/>
      <c r="X230" s="1"/>
      <c r="Y230" s="1"/>
    </row>
    <row r="231" spans="1:25" ht="12.75" x14ac:dyDescent="0.35">
      <c r="A231" s="1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5"/>
      <c r="S231" s="1"/>
      <c r="T231" s="1"/>
      <c r="U231" s="24"/>
      <c r="V231" s="1"/>
      <c r="W231" s="5"/>
      <c r="X231" s="1"/>
      <c r="Y231" s="1"/>
    </row>
    <row r="232" spans="1:25" ht="12.75" x14ac:dyDescent="0.35">
      <c r="A232" s="1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5"/>
      <c r="S232" s="1"/>
      <c r="T232" s="1"/>
      <c r="U232" s="24"/>
      <c r="V232" s="1"/>
      <c r="W232" s="5"/>
      <c r="X232" s="1"/>
      <c r="Y232" s="1"/>
    </row>
    <row r="233" spans="1:25" ht="12.75" x14ac:dyDescent="0.35">
      <c r="A233" s="1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5"/>
      <c r="S233" s="1"/>
      <c r="T233" s="1"/>
      <c r="U233" s="24"/>
      <c r="V233" s="1"/>
      <c r="W233" s="5"/>
      <c r="X233" s="1"/>
      <c r="Y233" s="1"/>
    </row>
    <row r="234" spans="1:25" ht="12.75" x14ac:dyDescent="0.35">
      <c r="A234" s="1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5"/>
      <c r="S234" s="1"/>
      <c r="T234" s="1"/>
      <c r="U234" s="24"/>
      <c r="V234" s="1"/>
      <c r="W234" s="5"/>
      <c r="X234" s="1"/>
      <c r="Y234" s="1"/>
    </row>
    <row r="235" spans="1:25" ht="12.75" x14ac:dyDescent="0.35">
      <c r="A235" s="1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5"/>
      <c r="S235" s="1"/>
      <c r="T235" s="1"/>
      <c r="U235" s="24"/>
      <c r="V235" s="1"/>
      <c r="W235" s="5"/>
      <c r="X235" s="1"/>
      <c r="Y235" s="1"/>
    </row>
    <row r="236" spans="1:25" ht="12.75" x14ac:dyDescent="0.35">
      <c r="A236" s="1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5"/>
      <c r="S236" s="1"/>
      <c r="T236" s="1"/>
      <c r="U236" s="24"/>
      <c r="V236" s="1"/>
      <c r="W236" s="5"/>
      <c r="X236" s="1"/>
      <c r="Y236" s="1"/>
    </row>
    <row r="237" spans="1:25" ht="12.75" x14ac:dyDescent="0.35">
      <c r="A237" s="1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5"/>
      <c r="S237" s="1"/>
      <c r="T237" s="1"/>
      <c r="U237" s="24"/>
      <c r="V237" s="1"/>
      <c r="W237" s="5"/>
      <c r="X237" s="1"/>
      <c r="Y237" s="1"/>
    </row>
    <row r="238" spans="1:25" ht="12.75" x14ac:dyDescent="0.35">
      <c r="A238" s="1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5"/>
      <c r="S238" s="1"/>
      <c r="T238" s="1"/>
      <c r="U238" s="24"/>
      <c r="V238" s="1"/>
      <c r="W238" s="5"/>
      <c r="X238" s="1"/>
      <c r="Y238" s="1"/>
    </row>
    <row r="239" spans="1:25" ht="12.75" x14ac:dyDescent="0.35">
      <c r="A239" s="1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5"/>
      <c r="S239" s="1"/>
      <c r="T239" s="1"/>
      <c r="U239" s="24"/>
      <c r="V239" s="1"/>
      <c r="W239" s="5"/>
      <c r="X239" s="1"/>
      <c r="Y239" s="1"/>
    </row>
    <row r="240" spans="1:25" ht="12.75" x14ac:dyDescent="0.35">
      <c r="A240" s="1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5"/>
      <c r="S240" s="1"/>
      <c r="T240" s="1"/>
      <c r="U240" s="24"/>
      <c r="V240" s="1"/>
      <c r="W240" s="5"/>
      <c r="X240" s="1"/>
      <c r="Y240" s="1"/>
    </row>
    <row r="241" spans="1:25" ht="12.75" x14ac:dyDescent="0.35">
      <c r="A241" s="1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5"/>
      <c r="S241" s="1"/>
      <c r="T241" s="1"/>
      <c r="U241" s="24"/>
      <c r="V241" s="1"/>
      <c r="W241" s="5"/>
      <c r="X241" s="1"/>
      <c r="Y241" s="1"/>
    </row>
    <row r="242" spans="1:25" ht="12.75" x14ac:dyDescent="0.35">
      <c r="A242" s="1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5"/>
      <c r="S242" s="1"/>
      <c r="T242" s="1"/>
      <c r="U242" s="24"/>
      <c r="V242" s="1"/>
      <c r="W242" s="5"/>
      <c r="X242" s="1"/>
      <c r="Y242" s="1"/>
    </row>
    <row r="243" spans="1:25" ht="12.75" x14ac:dyDescent="0.35">
      <c r="A243" s="1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5"/>
      <c r="S243" s="1"/>
      <c r="T243" s="1"/>
      <c r="U243" s="24"/>
      <c r="V243" s="1"/>
      <c r="W243" s="5"/>
      <c r="X243" s="1"/>
      <c r="Y243" s="1"/>
    </row>
    <row r="244" spans="1:25" ht="12.75" x14ac:dyDescent="0.35">
      <c r="A244" s="1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5"/>
      <c r="S244" s="1"/>
      <c r="T244" s="1"/>
      <c r="U244" s="24"/>
      <c r="V244" s="1"/>
      <c r="W244" s="5"/>
      <c r="X244" s="1"/>
      <c r="Y244" s="1"/>
    </row>
    <row r="245" spans="1:25" ht="12.75" x14ac:dyDescent="0.35">
      <c r="A245" s="1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5"/>
      <c r="S245" s="1"/>
      <c r="T245" s="1"/>
      <c r="U245" s="24"/>
      <c r="V245" s="1"/>
      <c r="W245" s="5"/>
      <c r="X245" s="1"/>
      <c r="Y245" s="1"/>
    </row>
    <row r="246" spans="1:25" ht="12.75" x14ac:dyDescent="0.35">
      <c r="A246" s="1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5"/>
      <c r="S246" s="1"/>
      <c r="T246" s="1"/>
      <c r="U246" s="24"/>
      <c r="V246" s="1"/>
      <c r="W246" s="5"/>
      <c r="X246" s="1"/>
      <c r="Y246" s="1"/>
    </row>
    <row r="247" spans="1:25" ht="12.75" x14ac:dyDescent="0.35">
      <c r="A247" s="1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5"/>
      <c r="S247" s="1"/>
      <c r="T247" s="1"/>
      <c r="U247" s="24"/>
      <c r="V247" s="1"/>
      <c r="W247" s="5"/>
      <c r="X247" s="1"/>
      <c r="Y247" s="1"/>
    </row>
    <row r="248" spans="1:25" ht="12.75" x14ac:dyDescent="0.35">
      <c r="A248" s="1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5"/>
      <c r="S248" s="1"/>
      <c r="T248" s="1"/>
      <c r="U248" s="24"/>
      <c r="V248" s="1"/>
      <c r="W248" s="5"/>
      <c r="X248" s="1"/>
      <c r="Y248" s="1"/>
    </row>
    <row r="249" spans="1:25" ht="12.75" x14ac:dyDescent="0.35">
      <c r="A249" s="1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5"/>
      <c r="S249" s="1"/>
      <c r="T249" s="1"/>
      <c r="U249" s="24"/>
      <c r="V249" s="1"/>
      <c r="W249" s="5"/>
      <c r="X249" s="1"/>
      <c r="Y249" s="1"/>
    </row>
    <row r="250" spans="1:25" ht="12.75" x14ac:dyDescent="0.35">
      <c r="A250" s="1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5"/>
      <c r="S250" s="1"/>
      <c r="T250" s="1"/>
      <c r="U250" s="24"/>
      <c r="V250" s="1"/>
      <c r="W250" s="5"/>
      <c r="X250" s="1"/>
      <c r="Y250" s="1"/>
    </row>
    <row r="251" spans="1:25" ht="12.75" x14ac:dyDescent="0.35">
      <c r="A251" s="1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5"/>
      <c r="S251" s="1"/>
      <c r="T251" s="1"/>
      <c r="U251" s="24"/>
      <c r="V251" s="1"/>
      <c r="W251" s="5"/>
      <c r="X251" s="1"/>
      <c r="Y251" s="1"/>
    </row>
    <row r="252" spans="1:25" ht="12.75" x14ac:dyDescent="0.35">
      <c r="A252" s="1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5"/>
      <c r="S252" s="1"/>
      <c r="T252" s="1"/>
      <c r="U252" s="24"/>
      <c r="V252" s="1"/>
      <c r="W252" s="5"/>
      <c r="X252" s="1"/>
      <c r="Y252" s="1"/>
    </row>
    <row r="253" spans="1:25" ht="12.75" x14ac:dyDescent="0.35">
      <c r="A253" s="1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5"/>
      <c r="S253" s="1"/>
      <c r="T253" s="1"/>
      <c r="U253" s="24"/>
      <c r="V253" s="1"/>
      <c r="W253" s="5"/>
      <c r="X253" s="1"/>
      <c r="Y253" s="1"/>
    </row>
    <row r="254" spans="1:25" ht="12.75" x14ac:dyDescent="0.35">
      <c r="A254" s="1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5"/>
      <c r="S254" s="1"/>
      <c r="T254" s="1"/>
      <c r="U254" s="24"/>
      <c r="V254" s="1"/>
      <c r="W254" s="5"/>
      <c r="X254" s="1"/>
      <c r="Y254" s="1"/>
    </row>
    <row r="255" spans="1:25" ht="12.75" x14ac:dyDescent="0.35">
      <c r="A255" s="1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5"/>
      <c r="S255" s="1"/>
      <c r="T255" s="1"/>
      <c r="U255" s="24"/>
      <c r="V255" s="1"/>
      <c r="W255" s="5"/>
      <c r="X255" s="1"/>
      <c r="Y255" s="1"/>
    </row>
    <row r="256" spans="1:25" ht="12.75" x14ac:dyDescent="0.35">
      <c r="A256" s="1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5"/>
      <c r="S256" s="1"/>
      <c r="T256" s="1"/>
      <c r="U256" s="24"/>
      <c r="V256" s="1"/>
      <c r="W256" s="5"/>
      <c r="X256" s="1"/>
      <c r="Y256" s="1"/>
    </row>
    <row r="257" spans="1:25" ht="12.75" x14ac:dyDescent="0.35">
      <c r="A257" s="1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5"/>
      <c r="S257" s="1"/>
      <c r="T257" s="1"/>
      <c r="U257" s="24"/>
      <c r="V257" s="1"/>
      <c r="W257" s="5"/>
      <c r="X257" s="1"/>
      <c r="Y257" s="1"/>
    </row>
    <row r="258" spans="1:25" ht="12.75" x14ac:dyDescent="0.35">
      <c r="A258" s="1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5"/>
      <c r="S258" s="1"/>
      <c r="T258" s="1"/>
      <c r="U258" s="24"/>
      <c r="V258" s="1"/>
      <c r="W258" s="5"/>
      <c r="X258" s="1"/>
      <c r="Y258" s="1"/>
    </row>
    <row r="259" spans="1:25" ht="12.75" x14ac:dyDescent="0.35">
      <c r="A259" s="1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5"/>
      <c r="S259" s="1"/>
      <c r="T259" s="1"/>
      <c r="U259" s="24"/>
      <c r="V259" s="1"/>
      <c r="W259" s="5"/>
      <c r="X259" s="1"/>
      <c r="Y259" s="1"/>
    </row>
    <row r="260" spans="1:25" ht="12.75" x14ac:dyDescent="0.35">
      <c r="A260" s="1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5"/>
      <c r="S260" s="1"/>
      <c r="T260" s="1"/>
      <c r="U260" s="24"/>
      <c r="V260" s="1"/>
      <c r="W260" s="5"/>
      <c r="X260" s="1"/>
      <c r="Y260" s="1"/>
    </row>
    <row r="261" spans="1:25" ht="12.75" x14ac:dyDescent="0.35">
      <c r="A261" s="1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5"/>
      <c r="S261" s="1"/>
      <c r="T261" s="1"/>
      <c r="U261" s="24"/>
      <c r="V261" s="1"/>
      <c r="W261" s="5"/>
      <c r="X261" s="1"/>
      <c r="Y261" s="1"/>
    </row>
    <row r="262" spans="1:25" ht="12.75" x14ac:dyDescent="0.35">
      <c r="A262" s="1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5"/>
      <c r="S262" s="1"/>
      <c r="T262" s="1"/>
      <c r="U262" s="24"/>
      <c r="V262" s="1"/>
      <c r="W262" s="5"/>
      <c r="X262" s="1"/>
      <c r="Y262" s="1"/>
    </row>
    <row r="263" spans="1:25" ht="12.75" x14ac:dyDescent="0.35">
      <c r="A263" s="1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5"/>
      <c r="S263" s="1"/>
      <c r="T263" s="1"/>
      <c r="U263" s="24"/>
      <c r="V263" s="1"/>
      <c r="W263" s="5"/>
      <c r="X263" s="1"/>
      <c r="Y263" s="1"/>
    </row>
    <row r="264" spans="1:25" ht="12.75" x14ac:dyDescent="0.35">
      <c r="A264" s="1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5"/>
      <c r="S264" s="1"/>
      <c r="T264" s="1"/>
      <c r="U264" s="24"/>
      <c r="V264" s="1"/>
      <c r="W264" s="5"/>
      <c r="X264" s="1"/>
      <c r="Y264" s="1"/>
    </row>
    <row r="265" spans="1:25" ht="12.75" x14ac:dyDescent="0.35">
      <c r="A265" s="1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5"/>
      <c r="S265" s="1"/>
      <c r="T265" s="1"/>
      <c r="U265" s="24"/>
      <c r="V265" s="1"/>
      <c r="W265" s="5"/>
      <c r="X265" s="1"/>
      <c r="Y265" s="1"/>
    </row>
    <row r="266" spans="1:25" ht="12.75" x14ac:dyDescent="0.35">
      <c r="A266" s="1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5"/>
      <c r="S266" s="1"/>
      <c r="T266" s="1"/>
      <c r="U266" s="24"/>
      <c r="V266" s="1"/>
      <c r="W266" s="5"/>
      <c r="X266" s="1"/>
      <c r="Y266" s="1"/>
    </row>
    <row r="267" spans="1:25" ht="12.75" x14ac:dyDescent="0.35">
      <c r="A267" s="1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5"/>
      <c r="S267" s="1"/>
      <c r="T267" s="1"/>
      <c r="U267" s="24"/>
      <c r="V267" s="1"/>
      <c r="W267" s="5"/>
      <c r="X267" s="1"/>
      <c r="Y267" s="1"/>
    </row>
    <row r="268" spans="1:25" ht="12.75" x14ac:dyDescent="0.35">
      <c r="A268" s="1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5"/>
      <c r="S268" s="1"/>
      <c r="T268" s="1"/>
      <c r="U268" s="24"/>
      <c r="V268" s="1"/>
      <c r="W268" s="5"/>
      <c r="X268" s="1"/>
      <c r="Y268" s="1"/>
    </row>
    <row r="269" spans="1:25" ht="12.75" x14ac:dyDescent="0.35">
      <c r="A269" s="1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5"/>
      <c r="S269" s="1"/>
      <c r="T269" s="1"/>
      <c r="U269" s="24"/>
      <c r="V269" s="1"/>
      <c r="W269" s="5"/>
      <c r="X269" s="1"/>
      <c r="Y269" s="1"/>
    </row>
    <row r="270" spans="1:25" ht="12.75" x14ac:dyDescent="0.35">
      <c r="A270" s="1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5"/>
      <c r="S270" s="1"/>
      <c r="T270" s="1"/>
      <c r="U270" s="24"/>
      <c r="V270" s="1"/>
      <c r="W270" s="5"/>
      <c r="X270" s="1"/>
      <c r="Y270" s="1"/>
    </row>
    <row r="271" spans="1:25" ht="12.75" x14ac:dyDescent="0.35">
      <c r="A271" s="1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5"/>
      <c r="S271" s="1"/>
      <c r="T271" s="1"/>
      <c r="U271" s="24"/>
      <c r="V271" s="1"/>
      <c r="W271" s="5"/>
      <c r="X271" s="1"/>
      <c r="Y271" s="1"/>
    </row>
    <row r="272" spans="1:25" ht="12.75" x14ac:dyDescent="0.35">
      <c r="A272" s="1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5"/>
      <c r="S272" s="1"/>
      <c r="T272" s="1"/>
      <c r="U272" s="24"/>
      <c r="V272" s="1"/>
      <c r="W272" s="5"/>
      <c r="X272" s="1"/>
      <c r="Y272" s="1"/>
    </row>
    <row r="273" spans="1:25" ht="12.75" x14ac:dyDescent="0.35">
      <c r="A273" s="1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5"/>
      <c r="S273" s="1"/>
      <c r="T273" s="1"/>
      <c r="U273" s="24"/>
      <c r="V273" s="1"/>
      <c r="W273" s="5"/>
      <c r="X273" s="1"/>
      <c r="Y273" s="1"/>
    </row>
    <row r="274" spans="1:25" ht="12.75" x14ac:dyDescent="0.35">
      <c r="A274" s="1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5"/>
      <c r="S274" s="1"/>
      <c r="T274" s="1"/>
      <c r="U274" s="24"/>
      <c r="V274" s="1"/>
      <c r="W274" s="5"/>
      <c r="X274" s="1"/>
      <c r="Y274" s="1"/>
    </row>
    <row r="275" spans="1:25" ht="12.75" x14ac:dyDescent="0.35">
      <c r="A275" s="1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5"/>
      <c r="S275" s="1"/>
      <c r="T275" s="1"/>
      <c r="U275" s="24"/>
      <c r="V275" s="1"/>
      <c r="W275" s="5"/>
      <c r="X275" s="1"/>
      <c r="Y275" s="1"/>
    </row>
    <row r="276" spans="1:25" ht="12.75" x14ac:dyDescent="0.35">
      <c r="A276" s="1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5"/>
      <c r="S276" s="1"/>
      <c r="T276" s="1"/>
      <c r="U276" s="24"/>
      <c r="V276" s="1"/>
      <c r="W276" s="5"/>
      <c r="X276" s="1"/>
      <c r="Y276" s="1"/>
    </row>
    <row r="277" spans="1:25" ht="12.75" x14ac:dyDescent="0.35">
      <c r="A277" s="1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5"/>
      <c r="S277" s="1"/>
      <c r="T277" s="1"/>
      <c r="U277" s="24"/>
      <c r="V277" s="1"/>
      <c r="W277" s="5"/>
      <c r="X277" s="1"/>
      <c r="Y277" s="1"/>
    </row>
    <row r="278" spans="1:25" ht="12.75" x14ac:dyDescent="0.35">
      <c r="A278" s="1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5"/>
      <c r="S278" s="1"/>
      <c r="T278" s="1"/>
      <c r="U278" s="24"/>
      <c r="V278" s="1"/>
      <c r="W278" s="5"/>
      <c r="X278" s="1"/>
      <c r="Y278" s="1"/>
    </row>
    <row r="279" spans="1:25" ht="12.75" x14ac:dyDescent="0.35">
      <c r="A279" s="1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5"/>
      <c r="S279" s="1"/>
      <c r="T279" s="1"/>
      <c r="U279" s="24"/>
      <c r="V279" s="1"/>
      <c r="W279" s="5"/>
      <c r="X279" s="1"/>
      <c r="Y279" s="1"/>
    </row>
    <row r="280" spans="1:25" ht="12.75" x14ac:dyDescent="0.35">
      <c r="A280" s="1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5"/>
      <c r="S280" s="1"/>
      <c r="T280" s="1"/>
      <c r="U280" s="24"/>
      <c r="V280" s="1"/>
      <c r="W280" s="5"/>
      <c r="X280" s="1"/>
      <c r="Y280" s="1"/>
    </row>
    <row r="281" spans="1:25" ht="12.75" x14ac:dyDescent="0.35">
      <c r="A281" s="1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5"/>
      <c r="S281" s="1"/>
      <c r="T281" s="1"/>
      <c r="U281" s="24"/>
      <c r="V281" s="1"/>
      <c r="W281" s="5"/>
      <c r="X281" s="1"/>
      <c r="Y281" s="1"/>
    </row>
    <row r="282" spans="1:25" ht="12.75" x14ac:dyDescent="0.35">
      <c r="A282" s="1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5"/>
      <c r="S282" s="1"/>
      <c r="T282" s="1"/>
      <c r="U282" s="24"/>
      <c r="V282" s="1"/>
      <c r="W282" s="5"/>
      <c r="X282" s="1"/>
      <c r="Y282" s="1"/>
    </row>
    <row r="283" spans="1:25" ht="12.75" x14ac:dyDescent="0.35">
      <c r="A283" s="1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5"/>
      <c r="S283" s="1"/>
      <c r="T283" s="1"/>
      <c r="U283" s="24"/>
      <c r="V283" s="1"/>
      <c r="W283" s="5"/>
      <c r="X283" s="1"/>
      <c r="Y283" s="1"/>
    </row>
    <row r="284" spans="1:25" ht="12.75" x14ac:dyDescent="0.35">
      <c r="A284" s="1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5"/>
      <c r="S284" s="1"/>
      <c r="T284" s="1"/>
      <c r="U284" s="24"/>
      <c r="V284" s="1"/>
      <c r="W284" s="5"/>
      <c r="X284" s="1"/>
      <c r="Y284" s="1"/>
    </row>
    <row r="285" spans="1:25" ht="12.75" x14ac:dyDescent="0.35">
      <c r="A285" s="1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5"/>
      <c r="S285" s="1"/>
      <c r="T285" s="1"/>
      <c r="U285" s="24"/>
      <c r="V285" s="1"/>
      <c r="W285" s="5"/>
      <c r="X285" s="1"/>
      <c r="Y285" s="1"/>
    </row>
    <row r="286" spans="1:25" ht="12.75" x14ac:dyDescent="0.35">
      <c r="A286" s="1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5"/>
      <c r="S286" s="1"/>
      <c r="T286" s="1"/>
      <c r="U286" s="24"/>
      <c r="V286" s="1"/>
      <c r="W286" s="5"/>
      <c r="X286" s="1"/>
      <c r="Y286" s="1"/>
    </row>
    <row r="287" spans="1:25" ht="12.75" x14ac:dyDescent="0.35">
      <c r="A287" s="1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5"/>
      <c r="S287" s="1"/>
      <c r="T287" s="1"/>
      <c r="U287" s="24"/>
      <c r="V287" s="1"/>
      <c r="W287" s="5"/>
      <c r="X287" s="1"/>
      <c r="Y287" s="1"/>
    </row>
    <row r="288" spans="1:25" ht="12.75" x14ac:dyDescent="0.35">
      <c r="A288" s="1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5"/>
      <c r="S288" s="1"/>
      <c r="T288" s="1"/>
      <c r="U288" s="24"/>
      <c r="V288" s="1"/>
      <c r="W288" s="5"/>
      <c r="X288" s="1"/>
      <c r="Y288" s="1"/>
    </row>
    <row r="289" spans="1:25" ht="12.75" x14ac:dyDescent="0.35">
      <c r="A289" s="1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5"/>
      <c r="S289" s="1"/>
      <c r="T289" s="1"/>
      <c r="U289" s="24"/>
      <c r="V289" s="1"/>
      <c r="W289" s="5"/>
      <c r="X289" s="1"/>
      <c r="Y289" s="1"/>
    </row>
    <row r="290" spans="1:25" ht="12.75" x14ac:dyDescent="0.35">
      <c r="A290" s="1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5"/>
      <c r="S290" s="1"/>
      <c r="T290" s="1"/>
      <c r="U290" s="24"/>
      <c r="V290" s="1"/>
      <c r="W290" s="5"/>
      <c r="X290" s="1"/>
      <c r="Y290" s="1"/>
    </row>
    <row r="291" spans="1:25" ht="12.75" x14ac:dyDescent="0.35">
      <c r="A291" s="1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5"/>
      <c r="S291" s="1"/>
      <c r="T291" s="1"/>
      <c r="U291" s="24"/>
      <c r="V291" s="1"/>
      <c r="W291" s="5"/>
      <c r="X291" s="1"/>
      <c r="Y291" s="1"/>
    </row>
    <row r="292" spans="1:25" ht="12.75" x14ac:dyDescent="0.35">
      <c r="A292" s="1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5"/>
      <c r="S292" s="1"/>
      <c r="T292" s="1"/>
      <c r="U292" s="24"/>
      <c r="V292" s="1"/>
      <c r="W292" s="5"/>
      <c r="X292" s="1"/>
      <c r="Y292" s="1"/>
    </row>
    <row r="293" spans="1:25" ht="12.75" x14ac:dyDescent="0.35">
      <c r="A293" s="1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5"/>
      <c r="S293" s="1"/>
      <c r="T293" s="1"/>
      <c r="U293" s="24"/>
      <c r="V293" s="1"/>
      <c r="W293" s="5"/>
      <c r="X293" s="1"/>
      <c r="Y293" s="1"/>
    </row>
    <row r="294" spans="1:25" ht="12.75" x14ac:dyDescent="0.35">
      <c r="A294" s="1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5"/>
      <c r="S294" s="1"/>
      <c r="T294" s="1"/>
      <c r="U294" s="24"/>
      <c r="V294" s="1"/>
      <c r="W294" s="5"/>
      <c r="X294" s="1"/>
      <c r="Y294" s="1"/>
    </row>
    <row r="295" spans="1:25" ht="12.75" x14ac:dyDescent="0.35">
      <c r="A295" s="1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5"/>
      <c r="S295" s="1"/>
      <c r="T295" s="1"/>
      <c r="U295" s="24"/>
      <c r="V295" s="1"/>
      <c r="W295" s="5"/>
      <c r="X295" s="1"/>
      <c r="Y295" s="1"/>
    </row>
    <row r="296" spans="1:25" ht="12.75" x14ac:dyDescent="0.35">
      <c r="A296" s="1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5"/>
      <c r="S296" s="1"/>
      <c r="T296" s="1"/>
      <c r="U296" s="24"/>
      <c r="V296" s="1"/>
      <c r="W296" s="5"/>
      <c r="X296" s="1"/>
      <c r="Y296" s="1"/>
    </row>
    <row r="297" spans="1:25" ht="12.75" x14ac:dyDescent="0.35">
      <c r="A297" s="1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5"/>
      <c r="S297" s="1"/>
      <c r="T297" s="1"/>
      <c r="U297" s="24"/>
      <c r="V297" s="1"/>
      <c r="W297" s="5"/>
      <c r="X297" s="1"/>
      <c r="Y297" s="1"/>
    </row>
    <row r="298" spans="1:25" ht="12.75" x14ac:dyDescent="0.35">
      <c r="A298" s="1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5"/>
      <c r="S298" s="1"/>
      <c r="T298" s="1"/>
      <c r="U298" s="24"/>
      <c r="V298" s="1"/>
      <c r="W298" s="5"/>
      <c r="X298" s="1"/>
      <c r="Y298" s="1"/>
    </row>
    <row r="299" spans="1:25" ht="12.75" x14ac:dyDescent="0.35">
      <c r="A299" s="1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5"/>
      <c r="S299" s="1"/>
      <c r="T299" s="1"/>
      <c r="U299" s="24"/>
      <c r="V299" s="1"/>
      <c r="W299" s="5"/>
      <c r="X299" s="1"/>
      <c r="Y299" s="1"/>
    </row>
    <row r="300" spans="1:25" ht="12.75" x14ac:dyDescent="0.35">
      <c r="A300" s="1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5"/>
      <c r="S300" s="1"/>
      <c r="T300" s="1"/>
      <c r="U300" s="24"/>
      <c r="V300" s="1"/>
      <c r="W300" s="5"/>
      <c r="X300" s="1"/>
      <c r="Y300" s="1"/>
    </row>
    <row r="301" spans="1:25" ht="12.75" x14ac:dyDescent="0.35">
      <c r="A301" s="1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5"/>
      <c r="S301" s="1"/>
      <c r="T301" s="1"/>
      <c r="U301" s="24"/>
      <c r="V301" s="1"/>
      <c r="W301" s="5"/>
      <c r="X301" s="1"/>
      <c r="Y301" s="1"/>
    </row>
    <row r="302" spans="1:25" ht="12.75" x14ac:dyDescent="0.35">
      <c r="A302" s="1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5"/>
      <c r="S302" s="1"/>
      <c r="T302" s="1"/>
      <c r="U302" s="24"/>
      <c r="V302" s="1"/>
      <c r="W302" s="5"/>
      <c r="X302" s="1"/>
      <c r="Y302" s="1"/>
    </row>
    <row r="303" spans="1:25" ht="12.75" x14ac:dyDescent="0.35">
      <c r="A303" s="1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5"/>
      <c r="S303" s="1"/>
      <c r="T303" s="1"/>
      <c r="U303" s="24"/>
      <c r="V303" s="1"/>
      <c r="W303" s="5"/>
      <c r="X303" s="1"/>
      <c r="Y303" s="1"/>
    </row>
    <row r="304" spans="1:25" ht="12.75" x14ac:dyDescent="0.35">
      <c r="A304" s="1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5"/>
      <c r="S304" s="1"/>
      <c r="T304" s="1"/>
      <c r="U304" s="24"/>
      <c r="V304" s="1"/>
      <c r="W304" s="5"/>
      <c r="X304" s="1"/>
      <c r="Y304" s="1"/>
    </row>
    <row r="305" spans="1:25" ht="12.75" x14ac:dyDescent="0.35">
      <c r="A305" s="1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5"/>
      <c r="S305" s="1"/>
      <c r="T305" s="1"/>
      <c r="U305" s="24"/>
      <c r="V305" s="1"/>
      <c r="W305" s="5"/>
      <c r="X305" s="1"/>
      <c r="Y305" s="1"/>
    </row>
    <row r="306" spans="1:25" ht="12.75" x14ac:dyDescent="0.35">
      <c r="A306" s="1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5"/>
      <c r="S306" s="1"/>
      <c r="T306" s="1"/>
      <c r="U306" s="24"/>
      <c r="V306" s="1"/>
      <c r="W306" s="5"/>
      <c r="X306" s="1"/>
      <c r="Y306" s="1"/>
    </row>
    <row r="307" spans="1:25" ht="12.75" x14ac:dyDescent="0.35">
      <c r="A307" s="1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5"/>
      <c r="S307" s="1"/>
      <c r="T307" s="1"/>
      <c r="U307" s="24"/>
      <c r="V307" s="1"/>
      <c r="W307" s="5"/>
      <c r="X307" s="1"/>
      <c r="Y307" s="1"/>
    </row>
    <row r="308" spans="1:25" ht="12.75" x14ac:dyDescent="0.35">
      <c r="A308" s="1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5"/>
      <c r="S308" s="1"/>
      <c r="T308" s="1"/>
      <c r="U308" s="24"/>
      <c r="V308" s="1"/>
      <c r="W308" s="5"/>
      <c r="X308" s="1"/>
      <c r="Y308" s="1"/>
    </row>
    <row r="309" spans="1:25" ht="12.75" x14ac:dyDescent="0.35">
      <c r="A309" s="1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5"/>
      <c r="S309" s="1"/>
      <c r="T309" s="1"/>
      <c r="U309" s="24"/>
      <c r="V309" s="1"/>
      <c r="W309" s="5"/>
      <c r="X309" s="1"/>
      <c r="Y309" s="1"/>
    </row>
    <row r="310" spans="1:25" ht="12.75" x14ac:dyDescent="0.35">
      <c r="A310" s="1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5"/>
      <c r="S310" s="1"/>
      <c r="T310" s="1"/>
      <c r="U310" s="24"/>
      <c r="V310" s="1"/>
      <c r="W310" s="5"/>
      <c r="X310" s="1"/>
      <c r="Y310" s="1"/>
    </row>
    <row r="311" spans="1:25" ht="12.75" x14ac:dyDescent="0.35">
      <c r="A311" s="1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5"/>
      <c r="S311" s="1"/>
      <c r="T311" s="1"/>
      <c r="U311" s="24"/>
      <c r="V311" s="1"/>
      <c r="W311" s="5"/>
      <c r="X311" s="1"/>
      <c r="Y311" s="1"/>
    </row>
    <row r="312" spans="1:25" ht="12.75" x14ac:dyDescent="0.35">
      <c r="A312" s="1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5"/>
      <c r="S312" s="1"/>
      <c r="T312" s="1"/>
      <c r="U312" s="24"/>
      <c r="V312" s="1"/>
      <c r="W312" s="5"/>
      <c r="X312" s="1"/>
      <c r="Y312" s="1"/>
    </row>
    <row r="313" spans="1:25" ht="12.75" x14ac:dyDescent="0.35">
      <c r="A313" s="1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5"/>
      <c r="S313" s="1"/>
      <c r="T313" s="1"/>
      <c r="U313" s="24"/>
      <c r="V313" s="1"/>
      <c r="W313" s="5"/>
      <c r="X313" s="1"/>
      <c r="Y313" s="1"/>
    </row>
    <row r="314" spans="1:25" ht="12.75" x14ac:dyDescent="0.35">
      <c r="A314" s="1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5"/>
      <c r="S314" s="1"/>
      <c r="T314" s="1"/>
      <c r="U314" s="24"/>
      <c r="V314" s="1"/>
      <c r="W314" s="5"/>
      <c r="X314" s="1"/>
      <c r="Y314" s="1"/>
    </row>
    <row r="315" spans="1:25" ht="12.75" x14ac:dyDescent="0.35">
      <c r="A315" s="1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5"/>
      <c r="S315" s="1"/>
      <c r="T315" s="1"/>
      <c r="U315" s="24"/>
      <c r="V315" s="1"/>
      <c r="W315" s="5"/>
      <c r="X315" s="1"/>
      <c r="Y315" s="1"/>
    </row>
    <row r="316" spans="1:25" ht="12.75" x14ac:dyDescent="0.35">
      <c r="A316" s="1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5"/>
      <c r="S316" s="1"/>
      <c r="T316" s="1"/>
      <c r="U316" s="24"/>
      <c r="V316" s="1"/>
      <c r="W316" s="5"/>
      <c r="X316" s="1"/>
      <c r="Y316" s="1"/>
    </row>
    <row r="317" spans="1:25" ht="12.75" x14ac:dyDescent="0.35">
      <c r="A317" s="1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5"/>
      <c r="S317" s="1"/>
      <c r="T317" s="1"/>
      <c r="U317" s="24"/>
      <c r="V317" s="1"/>
      <c r="W317" s="5"/>
      <c r="X317" s="1"/>
      <c r="Y317" s="1"/>
    </row>
    <row r="318" spans="1:25" ht="12.75" x14ac:dyDescent="0.35">
      <c r="A318" s="1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5"/>
      <c r="S318" s="1"/>
      <c r="T318" s="1"/>
      <c r="U318" s="24"/>
      <c r="V318" s="1"/>
      <c r="W318" s="5"/>
      <c r="X318" s="1"/>
      <c r="Y318" s="1"/>
    </row>
    <row r="319" spans="1:25" ht="12.75" x14ac:dyDescent="0.35">
      <c r="A319" s="1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5"/>
      <c r="S319" s="1"/>
      <c r="T319" s="1"/>
      <c r="U319" s="24"/>
      <c r="V319" s="1"/>
      <c r="W319" s="5"/>
      <c r="X319" s="1"/>
      <c r="Y319" s="1"/>
    </row>
    <row r="320" spans="1:25" ht="12.75" x14ac:dyDescent="0.35">
      <c r="A320" s="1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5"/>
      <c r="S320" s="1"/>
      <c r="T320" s="1"/>
      <c r="U320" s="24"/>
      <c r="V320" s="1"/>
      <c r="W320" s="5"/>
      <c r="X320" s="1"/>
      <c r="Y320" s="1"/>
    </row>
    <row r="321" spans="1:25" ht="12.75" x14ac:dyDescent="0.35">
      <c r="A321" s="1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5"/>
      <c r="S321" s="1"/>
      <c r="T321" s="1"/>
      <c r="U321" s="24"/>
      <c r="V321" s="1"/>
      <c r="W321" s="5"/>
      <c r="X321" s="1"/>
      <c r="Y321" s="1"/>
    </row>
    <row r="322" spans="1:25" ht="12.75" x14ac:dyDescent="0.35">
      <c r="A322" s="1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5"/>
      <c r="S322" s="1"/>
      <c r="T322" s="1"/>
      <c r="U322" s="24"/>
      <c r="V322" s="1"/>
      <c r="W322" s="5"/>
      <c r="X322" s="1"/>
      <c r="Y322" s="1"/>
    </row>
    <row r="323" spans="1:25" ht="12.75" x14ac:dyDescent="0.35">
      <c r="A323" s="1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5"/>
      <c r="S323" s="1"/>
      <c r="T323" s="1"/>
      <c r="U323" s="24"/>
      <c r="V323" s="1"/>
      <c r="W323" s="5"/>
      <c r="X323" s="1"/>
      <c r="Y323" s="1"/>
    </row>
    <row r="324" spans="1:25" ht="12.75" x14ac:dyDescent="0.35">
      <c r="A324" s="1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5"/>
      <c r="S324" s="1"/>
      <c r="T324" s="1"/>
      <c r="U324" s="24"/>
      <c r="V324" s="1"/>
      <c r="W324" s="5"/>
      <c r="X324" s="1"/>
      <c r="Y324" s="1"/>
    </row>
    <row r="325" spans="1:25" ht="12.75" x14ac:dyDescent="0.35">
      <c r="A325" s="1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5"/>
      <c r="S325" s="1"/>
      <c r="T325" s="1"/>
      <c r="U325" s="24"/>
      <c r="V325" s="1"/>
      <c r="W325" s="5"/>
      <c r="X325" s="1"/>
      <c r="Y325" s="1"/>
    </row>
    <row r="326" spans="1:25" ht="12.75" x14ac:dyDescent="0.35">
      <c r="A326" s="1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5"/>
      <c r="S326" s="1"/>
      <c r="T326" s="1"/>
      <c r="U326" s="24"/>
      <c r="V326" s="1"/>
      <c r="W326" s="5"/>
      <c r="X326" s="1"/>
      <c r="Y326" s="1"/>
    </row>
    <row r="327" spans="1:25" ht="12.75" x14ac:dyDescent="0.35">
      <c r="A327" s="1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5"/>
      <c r="S327" s="1"/>
      <c r="T327" s="1"/>
      <c r="U327" s="24"/>
      <c r="V327" s="1"/>
      <c r="W327" s="5"/>
      <c r="X327" s="1"/>
      <c r="Y327" s="1"/>
    </row>
    <row r="328" spans="1:25" ht="12.75" x14ac:dyDescent="0.35">
      <c r="A328" s="1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5"/>
      <c r="S328" s="1"/>
      <c r="T328" s="1"/>
      <c r="U328" s="24"/>
      <c r="V328" s="1"/>
      <c r="W328" s="5"/>
      <c r="X328" s="1"/>
      <c r="Y328" s="1"/>
    </row>
    <row r="329" spans="1:25" ht="12.75" x14ac:dyDescent="0.35">
      <c r="A329" s="1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5"/>
      <c r="S329" s="1"/>
      <c r="T329" s="1"/>
      <c r="U329" s="24"/>
      <c r="V329" s="1"/>
      <c r="W329" s="5"/>
      <c r="X329" s="1"/>
      <c r="Y329" s="1"/>
    </row>
    <row r="330" spans="1:25" ht="12.75" x14ac:dyDescent="0.35">
      <c r="A330" s="1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5"/>
      <c r="S330" s="1"/>
      <c r="T330" s="1"/>
      <c r="U330" s="24"/>
      <c r="V330" s="1"/>
      <c r="W330" s="5"/>
      <c r="X330" s="1"/>
      <c r="Y330" s="1"/>
    </row>
    <row r="331" spans="1:25" ht="12.75" x14ac:dyDescent="0.35">
      <c r="A331" s="1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5"/>
      <c r="S331" s="1"/>
      <c r="T331" s="1"/>
      <c r="U331" s="24"/>
      <c r="V331" s="1"/>
      <c r="W331" s="5"/>
      <c r="X331" s="1"/>
      <c r="Y331" s="1"/>
    </row>
    <row r="332" spans="1:25" ht="12.75" x14ac:dyDescent="0.35">
      <c r="A332" s="1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5"/>
      <c r="S332" s="1"/>
      <c r="T332" s="1"/>
      <c r="U332" s="24"/>
      <c r="V332" s="1"/>
      <c r="W332" s="5"/>
      <c r="X332" s="1"/>
      <c r="Y332" s="1"/>
    </row>
    <row r="333" spans="1:25" ht="12.75" x14ac:dyDescent="0.35">
      <c r="A333" s="1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5"/>
      <c r="S333" s="1"/>
      <c r="T333" s="1"/>
      <c r="U333" s="24"/>
      <c r="V333" s="1"/>
      <c r="W333" s="5"/>
      <c r="X333" s="1"/>
      <c r="Y333" s="1"/>
    </row>
    <row r="334" spans="1:25" ht="12.75" x14ac:dyDescent="0.35">
      <c r="A334" s="1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5"/>
      <c r="S334" s="1"/>
      <c r="T334" s="1"/>
      <c r="U334" s="24"/>
      <c r="V334" s="1"/>
      <c r="W334" s="5"/>
      <c r="X334" s="1"/>
      <c r="Y334" s="1"/>
    </row>
    <row r="335" spans="1:25" ht="12.75" x14ac:dyDescent="0.35">
      <c r="A335" s="1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5"/>
      <c r="S335" s="1"/>
      <c r="T335" s="1"/>
      <c r="U335" s="24"/>
      <c r="V335" s="1"/>
      <c r="W335" s="5"/>
      <c r="X335" s="1"/>
      <c r="Y335" s="1"/>
    </row>
    <row r="336" spans="1:25" ht="12.75" x14ac:dyDescent="0.35">
      <c r="A336" s="1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5"/>
      <c r="S336" s="1"/>
      <c r="T336" s="1"/>
      <c r="U336" s="24"/>
      <c r="V336" s="1"/>
      <c r="W336" s="5"/>
      <c r="X336" s="1"/>
      <c r="Y336" s="1"/>
    </row>
    <row r="337" spans="1:25" ht="12.75" x14ac:dyDescent="0.35">
      <c r="A337" s="1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5"/>
      <c r="S337" s="1"/>
      <c r="T337" s="1"/>
      <c r="U337" s="24"/>
      <c r="V337" s="1"/>
      <c r="W337" s="5"/>
      <c r="X337" s="1"/>
      <c r="Y337" s="1"/>
    </row>
    <row r="338" spans="1:25" ht="12.75" x14ac:dyDescent="0.35">
      <c r="A338" s="1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5"/>
      <c r="S338" s="1"/>
      <c r="T338" s="1"/>
      <c r="U338" s="24"/>
      <c r="V338" s="1"/>
      <c r="W338" s="5"/>
      <c r="X338" s="1"/>
      <c r="Y338" s="1"/>
    </row>
    <row r="339" spans="1:25" ht="12.75" x14ac:dyDescent="0.35">
      <c r="A339" s="1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5"/>
      <c r="S339" s="1"/>
      <c r="T339" s="1"/>
      <c r="U339" s="24"/>
      <c r="V339" s="1"/>
      <c r="W339" s="5"/>
      <c r="X339" s="1"/>
      <c r="Y339" s="1"/>
    </row>
    <row r="340" spans="1:25" ht="12.75" x14ac:dyDescent="0.35">
      <c r="A340" s="1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5"/>
      <c r="S340" s="1"/>
      <c r="T340" s="1"/>
      <c r="U340" s="24"/>
      <c r="V340" s="1"/>
      <c r="W340" s="5"/>
      <c r="X340" s="1"/>
      <c r="Y340" s="1"/>
    </row>
    <row r="341" spans="1:25" ht="12.75" x14ac:dyDescent="0.35">
      <c r="A341" s="1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5"/>
      <c r="S341" s="1"/>
      <c r="T341" s="1"/>
      <c r="U341" s="24"/>
      <c r="V341" s="1"/>
      <c r="W341" s="5"/>
      <c r="X341" s="1"/>
      <c r="Y341" s="1"/>
    </row>
    <row r="342" spans="1:25" ht="12.75" x14ac:dyDescent="0.35">
      <c r="A342" s="1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5"/>
      <c r="S342" s="1"/>
      <c r="T342" s="1"/>
      <c r="U342" s="24"/>
      <c r="V342" s="1"/>
      <c r="W342" s="5"/>
      <c r="X342" s="1"/>
      <c r="Y342" s="1"/>
    </row>
    <row r="343" spans="1:25" ht="12.75" x14ac:dyDescent="0.35">
      <c r="A343" s="1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5"/>
      <c r="S343" s="1"/>
      <c r="T343" s="1"/>
      <c r="U343" s="24"/>
      <c r="V343" s="1"/>
      <c r="W343" s="5"/>
      <c r="X343" s="1"/>
      <c r="Y343" s="1"/>
    </row>
    <row r="344" spans="1:25" ht="12.75" x14ac:dyDescent="0.35">
      <c r="A344" s="1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5"/>
      <c r="S344" s="1"/>
      <c r="T344" s="1"/>
      <c r="U344" s="24"/>
      <c r="V344" s="1"/>
      <c r="W344" s="5"/>
      <c r="X344" s="1"/>
      <c r="Y344" s="1"/>
    </row>
    <row r="345" spans="1:25" ht="12.75" x14ac:dyDescent="0.35">
      <c r="A345" s="1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5"/>
      <c r="S345" s="1"/>
      <c r="T345" s="1"/>
      <c r="U345" s="24"/>
      <c r="V345" s="1"/>
      <c r="W345" s="5"/>
      <c r="X345" s="1"/>
      <c r="Y345" s="1"/>
    </row>
    <row r="346" spans="1:25" ht="12.75" x14ac:dyDescent="0.35">
      <c r="A346" s="1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5"/>
      <c r="S346" s="1"/>
      <c r="T346" s="1"/>
      <c r="U346" s="24"/>
      <c r="V346" s="1"/>
      <c r="W346" s="5"/>
      <c r="X346" s="1"/>
      <c r="Y346" s="1"/>
    </row>
    <row r="347" spans="1:25" ht="12.75" x14ac:dyDescent="0.35">
      <c r="A347" s="1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5"/>
      <c r="S347" s="1"/>
      <c r="T347" s="1"/>
      <c r="U347" s="24"/>
      <c r="V347" s="1"/>
      <c r="W347" s="5"/>
      <c r="X347" s="1"/>
      <c r="Y347" s="1"/>
    </row>
    <row r="348" spans="1:25" ht="12.75" x14ac:dyDescent="0.35">
      <c r="A348" s="1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5"/>
      <c r="S348" s="1"/>
      <c r="T348" s="1"/>
      <c r="U348" s="24"/>
      <c r="V348" s="1"/>
      <c r="W348" s="5"/>
      <c r="X348" s="1"/>
      <c r="Y348" s="1"/>
    </row>
    <row r="349" spans="1:25" ht="12.75" x14ac:dyDescent="0.35">
      <c r="A349" s="1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5"/>
      <c r="S349" s="1"/>
      <c r="T349" s="1"/>
      <c r="U349" s="24"/>
      <c r="V349" s="1"/>
      <c r="W349" s="5"/>
      <c r="X349" s="1"/>
      <c r="Y349" s="1"/>
    </row>
    <row r="350" spans="1:25" ht="12.75" x14ac:dyDescent="0.35">
      <c r="A350" s="1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5"/>
      <c r="S350" s="1"/>
      <c r="T350" s="1"/>
      <c r="U350" s="24"/>
      <c r="V350" s="1"/>
      <c r="W350" s="5"/>
      <c r="X350" s="1"/>
      <c r="Y350" s="1"/>
    </row>
    <row r="351" spans="1:25" ht="12.75" x14ac:dyDescent="0.35">
      <c r="A351" s="1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5"/>
      <c r="S351" s="1"/>
      <c r="T351" s="1"/>
      <c r="U351" s="24"/>
      <c r="V351" s="1"/>
      <c r="W351" s="5"/>
      <c r="X351" s="1"/>
      <c r="Y351" s="1"/>
    </row>
    <row r="352" spans="1:25" ht="12.75" x14ac:dyDescent="0.35">
      <c r="A352" s="1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5"/>
      <c r="S352" s="1"/>
      <c r="T352" s="1"/>
      <c r="U352" s="24"/>
      <c r="V352" s="1"/>
      <c r="W352" s="5"/>
      <c r="X352" s="1"/>
      <c r="Y352" s="1"/>
    </row>
    <row r="353" spans="1:25" ht="12.75" x14ac:dyDescent="0.35">
      <c r="A353" s="1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5"/>
      <c r="S353" s="1"/>
      <c r="T353" s="1"/>
      <c r="U353" s="24"/>
      <c r="V353" s="1"/>
      <c r="W353" s="5"/>
      <c r="X353" s="1"/>
      <c r="Y353" s="1"/>
    </row>
    <row r="354" spans="1:25" ht="12.75" x14ac:dyDescent="0.35">
      <c r="A354" s="1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5"/>
      <c r="S354" s="1"/>
      <c r="T354" s="1"/>
      <c r="U354" s="24"/>
      <c r="V354" s="1"/>
      <c r="W354" s="5"/>
      <c r="X354" s="1"/>
      <c r="Y354" s="1"/>
    </row>
    <row r="355" spans="1:25" ht="12.75" x14ac:dyDescent="0.35">
      <c r="A355" s="1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5"/>
      <c r="S355" s="1"/>
      <c r="T355" s="1"/>
      <c r="U355" s="24"/>
      <c r="V355" s="1"/>
      <c r="W355" s="5"/>
      <c r="X355" s="1"/>
      <c r="Y355" s="1"/>
    </row>
    <row r="356" spans="1:25" ht="12.75" x14ac:dyDescent="0.35">
      <c r="A356" s="1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5"/>
      <c r="S356" s="1"/>
      <c r="T356" s="1"/>
      <c r="U356" s="24"/>
      <c r="V356" s="1"/>
      <c r="W356" s="5"/>
      <c r="X356" s="1"/>
      <c r="Y356" s="1"/>
    </row>
    <row r="357" spans="1:25" ht="12.75" x14ac:dyDescent="0.35">
      <c r="A357" s="1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5"/>
      <c r="S357" s="1"/>
      <c r="T357" s="1"/>
      <c r="U357" s="24"/>
      <c r="V357" s="1"/>
      <c r="W357" s="5"/>
      <c r="X357" s="1"/>
      <c r="Y357" s="1"/>
    </row>
    <row r="358" spans="1:25" ht="12.75" x14ac:dyDescent="0.35">
      <c r="A358" s="1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5"/>
      <c r="S358" s="1"/>
      <c r="T358" s="1"/>
      <c r="U358" s="24"/>
      <c r="V358" s="1"/>
      <c r="W358" s="5"/>
      <c r="X358" s="1"/>
      <c r="Y358" s="1"/>
    </row>
    <row r="359" spans="1:25" ht="12.75" x14ac:dyDescent="0.35">
      <c r="A359" s="1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5"/>
      <c r="S359" s="1"/>
      <c r="T359" s="1"/>
      <c r="U359" s="24"/>
      <c r="V359" s="1"/>
      <c r="W359" s="5"/>
      <c r="X359" s="1"/>
      <c r="Y359" s="1"/>
    </row>
    <row r="360" spans="1:25" ht="12.75" x14ac:dyDescent="0.35">
      <c r="A360" s="1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5"/>
      <c r="S360" s="1"/>
      <c r="T360" s="1"/>
      <c r="U360" s="24"/>
      <c r="V360" s="1"/>
      <c r="W360" s="5"/>
      <c r="X360" s="1"/>
      <c r="Y360" s="1"/>
    </row>
    <row r="361" spans="1:25" ht="12.75" x14ac:dyDescent="0.35">
      <c r="A361" s="1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5"/>
      <c r="S361" s="1"/>
      <c r="T361" s="1"/>
      <c r="U361" s="24"/>
      <c r="V361" s="1"/>
      <c r="W361" s="5"/>
      <c r="X361" s="1"/>
      <c r="Y361" s="1"/>
    </row>
    <row r="362" spans="1:25" ht="12.75" x14ac:dyDescent="0.35">
      <c r="A362" s="1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5"/>
      <c r="S362" s="1"/>
      <c r="T362" s="1"/>
      <c r="U362" s="24"/>
      <c r="V362" s="1"/>
      <c r="W362" s="5"/>
      <c r="X362" s="1"/>
      <c r="Y362" s="1"/>
    </row>
    <row r="363" spans="1:25" ht="12.75" x14ac:dyDescent="0.35">
      <c r="A363" s="1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5"/>
      <c r="S363" s="1"/>
      <c r="T363" s="1"/>
      <c r="U363" s="24"/>
      <c r="V363" s="1"/>
      <c r="W363" s="5"/>
      <c r="X363" s="1"/>
      <c r="Y363" s="1"/>
    </row>
    <row r="364" spans="1:25" ht="12.75" x14ac:dyDescent="0.35">
      <c r="A364" s="1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5"/>
      <c r="S364" s="1"/>
      <c r="T364" s="1"/>
      <c r="U364" s="24"/>
      <c r="V364" s="1"/>
      <c r="W364" s="5"/>
      <c r="X364" s="1"/>
      <c r="Y364" s="1"/>
    </row>
    <row r="365" spans="1:25" ht="12.75" x14ac:dyDescent="0.35">
      <c r="A365" s="1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5"/>
      <c r="S365" s="1"/>
      <c r="T365" s="1"/>
      <c r="U365" s="24"/>
      <c r="V365" s="1"/>
      <c r="W365" s="5"/>
      <c r="X365" s="1"/>
      <c r="Y365" s="1"/>
    </row>
    <row r="366" spans="1:25" ht="12.75" x14ac:dyDescent="0.35">
      <c r="A366" s="1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5"/>
      <c r="S366" s="1"/>
      <c r="T366" s="1"/>
      <c r="U366" s="24"/>
      <c r="V366" s="1"/>
      <c r="W366" s="5"/>
      <c r="X366" s="1"/>
      <c r="Y366" s="1"/>
    </row>
    <row r="367" spans="1:25" ht="12.75" x14ac:dyDescent="0.35">
      <c r="A367" s="1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5"/>
      <c r="S367" s="1"/>
      <c r="T367" s="1"/>
      <c r="U367" s="24"/>
      <c r="V367" s="1"/>
      <c r="W367" s="5"/>
      <c r="X367" s="1"/>
      <c r="Y367" s="1"/>
    </row>
    <row r="368" spans="1:25" ht="12.75" x14ac:dyDescent="0.35">
      <c r="A368" s="1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5"/>
      <c r="S368" s="1"/>
      <c r="T368" s="1"/>
      <c r="U368" s="24"/>
      <c r="V368" s="1"/>
      <c r="W368" s="5"/>
      <c r="X368" s="1"/>
      <c r="Y368" s="1"/>
    </row>
    <row r="369" spans="1:25" ht="12.75" x14ac:dyDescent="0.35">
      <c r="A369" s="1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5"/>
      <c r="S369" s="1"/>
      <c r="T369" s="1"/>
      <c r="U369" s="24"/>
      <c r="V369" s="1"/>
      <c r="W369" s="5"/>
      <c r="X369" s="1"/>
      <c r="Y369" s="1"/>
    </row>
    <row r="370" spans="1:25" ht="12.75" x14ac:dyDescent="0.35">
      <c r="A370" s="1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5"/>
      <c r="S370" s="1"/>
      <c r="T370" s="1"/>
      <c r="U370" s="24"/>
      <c r="V370" s="1"/>
      <c r="W370" s="5"/>
      <c r="X370" s="1"/>
      <c r="Y370" s="1"/>
    </row>
    <row r="371" spans="1:25" ht="12.75" x14ac:dyDescent="0.35">
      <c r="A371" s="1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5"/>
      <c r="S371" s="1"/>
      <c r="T371" s="1"/>
      <c r="U371" s="24"/>
      <c r="V371" s="1"/>
      <c r="W371" s="5"/>
      <c r="X371" s="1"/>
      <c r="Y371" s="1"/>
    </row>
    <row r="372" spans="1:25" ht="12.75" x14ac:dyDescent="0.35">
      <c r="A372" s="1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5"/>
      <c r="S372" s="1"/>
      <c r="T372" s="1"/>
      <c r="U372" s="24"/>
      <c r="V372" s="1"/>
      <c r="W372" s="5"/>
      <c r="X372" s="1"/>
      <c r="Y372" s="1"/>
    </row>
    <row r="373" spans="1:25" ht="12.75" x14ac:dyDescent="0.35">
      <c r="A373" s="1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5"/>
      <c r="S373" s="1"/>
      <c r="T373" s="1"/>
      <c r="U373" s="24"/>
      <c r="V373" s="1"/>
      <c r="W373" s="5"/>
      <c r="X373" s="1"/>
      <c r="Y373" s="1"/>
    </row>
    <row r="374" spans="1:25" ht="12.75" x14ac:dyDescent="0.35">
      <c r="A374" s="1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5"/>
      <c r="S374" s="1"/>
      <c r="T374" s="1"/>
      <c r="U374" s="24"/>
      <c r="V374" s="1"/>
      <c r="W374" s="5"/>
      <c r="X374" s="1"/>
      <c r="Y374" s="1"/>
    </row>
    <row r="375" spans="1:25" ht="12.75" x14ac:dyDescent="0.35">
      <c r="A375" s="1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5"/>
      <c r="S375" s="1"/>
      <c r="T375" s="1"/>
      <c r="U375" s="24"/>
      <c r="V375" s="1"/>
      <c r="W375" s="5"/>
      <c r="X375" s="1"/>
      <c r="Y375" s="1"/>
    </row>
    <row r="376" spans="1:25" ht="12.75" x14ac:dyDescent="0.35">
      <c r="A376" s="1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5"/>
      <c r="S376" s="1"/>
      <c r="T376" s="1"/>
      <c r="U376" s="24"/>
      <c r="V376" s="1"/>
      <c r="W376" s="5"/>
      <c r="X376" s="1"/>
      <c r="Y376" s="1"/>
    </row>
    <row r="377" spans="1:25" ht="12.75" x14ac:dyDescent="0.35">
      <c r="A377" s="1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5"/>
      <c r="S377" s="1"/>
      <c r="T377" s="1"/>
      <c r="U377" s="24"/>
      <c r="V377" s="1"/>
      <c r="W377" s="5"/>
      <c r="X377" s="1"/>
      <c r="Y377" s="1"/>
    </row>
    <row r="378" spans="1:25" ht="12.75" x14ac:dyDescent="0.35">
      <c r="A378" s="1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5"/>
      <c r="S378" s="1"/>
      <c r="T378" s="1"/>
      <c r="U378" s="24"/>
      <c r="V378" s="1"/>
      <c r="W378" s="5"/>
      <c r="X378" s="1"/>
      <c r="Y378" s="1"/>
    </row>
    <row r="379" spans="1:25" ht="12.75" x14ac:dyDescent="0.35">
      <c r="A379" s="1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5"/>
      <c r="S379" s="1"/>
      <c r="T379" s="1"/>
      <c r="U379" s="24"/>
      <c r="V379" s="1"/>
      <c r="W379" s="5"/>
      <c r="X379" s="1"/>
      <c r="Y379" s="1"/>
    </row>
    <row r="380" spans="1:25" ht="12.75" x14ac:dyDescent="0.35">
      <c r="A380" s="1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5"/>
      <c r="S380" s="1"/>
      <c r="T380" s="1"/>
      <c r="U380" s="24"/>
      <c r="V380" s="1"/>
      <c r="W380" s="5"/>
      <c r="X380" s="1"/>
      <c r="Y380" s="1"/>
    </row>
    <row r="381" spans="1:25" ht="12.75" x14ac:dyDescent="0.35">
      <c r="A381" s="1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5"/>
      <c r="S381" s="1"/>
      <c r="T381" s="1"/>
      <c r="U381" s="24"/>
      <c r="V381" s="1"/>
      <c r="W381" s="5"/>
      <c r="X381" s="1"/>
      <c r="Y381" s="1"/>
    </row>
    <row r="382" spans="1:25" ht="12.75" x14ac:dyDescent="0.35">
      <c r="A382" s="1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5"/>
      <c r="S382" s="1"/>
      <c r="T382" s="1"/>
      <c r="U382" s="24"/>
      <c r="V382" s="1"/>
      <c r="W382" s="5"/>
      <c r="X382" s="1"/>
      <c r="Y382" s="1"/>
    </row>
    <row r="383" spans="1:25" ht="12.75" x14ac:dyDescent="0.35">
      <c r="A383" s="1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5"/>
      <c r="S383" s="1"/>
      <c r="T383" s="1"/>
      <c r="U383" s="24"/>
      <c r="V383" s="1"/>
      <c r="W383" s="5"/>
      <c r="X383" s="1"/>
      <c r="Y383" s="1"/>
    </row>
    <row r="384" spans="1:25" ht="12.75" x14ac:dyDescent="0.35">
      <c r="A384" s="1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5"/>
      <c r="S384" s="1"/>
      <c r="T384" s="1"/>
      <c r="U384" s="24"/>
      <c r="V384" s="1"/>
      <c r="W384" s="5"/>
      <c r="X384" s="1"/>
      <c r="Y384" s="1"/>
    </row>
    <row r="385" spans="1:25" ht="12.75" x14ac:dyDescent="0.35">
      <c r="A385" s="1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5"/>
      <c r="S385" s="1"/>
      <c r="T385" s="1"/>
      <c r="U385" s="24"/>
      <c r="V385" s="1"/>
      <c r="W385" s="5"/>
      <c r="X385" s="1"/>
      <c r="Y385" s="1"/>
    </row>
    <row r="386" spans="1:25" ht="12.75" x14ac:dyDescent="0.35">
      <c r="A386" s="1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5"/>
      <c r="S386" s="1"/>
      <c r="T386" s="1"/>
      <c r="U386" s="24"/>
      <c r="V386" s="1"/>
      <c r="W386" s="5"/>
      <c r="X386" s="1"/>
      <c r="Y386" s="1"/>
    </row>
    <row r="387" spans="1:25" ht="12.75" x14ac:dyDescent="0.35">
      <c r="A387" s="1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5"/>
      <c r="S387" s="1"/>
      <c r="T387" s="1"/>
      <c r="U387" s="24"/>
      <c r="V387" s="1"/>
      <c r="W387" s="5"/>
      <c r="X387" s="1"/>
      <c r="Y387" s="1"/>
    </row>
    <row r="388" spans="1:25" ht="12.75" x14ac:dyDescent="0.35">
      <c r="A388" s="1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5"/>
      <c r="S388" s="1"/>
      <c r="T388" s="1"/>
      <c r="U388" s="24"/>
      <c r="V388" s="1"/>
      <c r="W388" s="5"/>
      <c r="X388" s="1"/>
      <c r="Y388" s="1"/>
    </row>
    <row r="389" spans="1:25" ht="12.75" x14ac:dyDescent="0.35">
      <c r="A389" s="1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5"/>
      <c r="S389" s="1"/>
      <c r="T389" s="1"/>
      <c r="U389" s="24"/>
      <c r="V389" s="1"/>
      <c r="W389" s="5"/>
      <c r="X389" s="1"/>
      <c r="Y389" s="1"/>
    </row>
    <row r="390" spans="1:25" ht="12.75" x14ac:dyDescent="0.35">
      <c r="A390" s="1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5"/>
      <c r="S390" s="1"/>
      <c r="T390" s="1"/>
      <c r="U390" s="24"/>
      <c r="V390" s="1"/>
      <c r="W390" s="5"/>
      <c r="X390" s="1"/>
      <c r="Y390" s="1"/>
    </row>
    <row r="391" spans="1:25" ht="12.75" x14ac:dyDescent="0.35">
      <c r="A391" s="1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5"/>
      <c r="S391" s="1"/>
      <c r="T391" s="1"/>
      <c r="U391" s="24"/>
      <c r="V391" s="1"/>
      <c r="W391" s="5"/>
      <c r="X391" s="1"/>
      <c r="Y391" s="1"/>
    </row>
    <row r="392" spans="1:25" ht="12.75" x14ac:dyDescent="0.35">
      <c r="A392" s="1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5"/>
      <c r="S392" s="1"/>
      <c r="T392" s="1"/>
      <c r="U392" s="24"/>
      <c r="V392" s="1"/>
      <c r="W392" s="5"/>
      <c r="X392" s="1"/>
      <c r="Y392" s="1"/>
    </row>
    <row r="393" spans="1:25" ht="12.75" x14ac:dyDescent="0.35">
      <c r="A393" s="1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5"/>
      <c r="S393" s="1"/>
      <c r="T393" s="1"/>
      <c r="U393" s="24"/>
      <c r="V393" s="1"/>
      <c r="W393" s="5"/>
      <c r="X393" s="1"/>
      <c r="Y393" s="1"/>
    </row>
    <row r="394" spans="1:25" ht="12.75" x14ac:dyDescent="0.35">
      <c r="A394" s="1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5"/>
      <c r="S394" s="1"/>
      <c r="T394" s="1"/>
      <c r="U394" s="24"/>
      <c r="V394" s="1"/>
      <c r="W394" s="5"/>
      <c r="X394" s="1"/>
      <c r="Y394" s="1"/>
    </row>
    <row r="395" spans="1:25" ht="12.75" x14ac:dyDescent="0.35">
      <c r="A395" s="1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5"/>
      <c r="S395" s="1"/>
      <c r="T395" s="1"/>
      <c r="U395" s="24"/>
      <c r="V395" s="1"/>
      <c r="W395" s="5"/>
      <c r="X395" s="1"/>
      <c r="Y395" s="1"/>
    </row>
    <row r="396" spans="1:25" ht="12.75" x14ac:dyDescent="0.35">
      <c r="A396" s="1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5"/>
      <c r="S396" s="1"/>
      <c r="T396" s="1"/>
      <c r="U396" s="24"/>
      <c r="V396" s="1"/>
      <c r="W396" s="5"/>
      <c r="X396" s="1"/>
      <c r="Y396" s="1"/>
    </row>
    <row r="397" spans="1:25" ht="12.75" x14ac:dyDescent="0.35">
      <c r="A397" s="1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5"/>
      <c r="S397" s="1"/>
      <c r="T397" s="1"/>
      <c r="U397" s="24"/>
      <c r="V397" s="1"/>
      <c r="W397" s="5"/>
      <c r="X397" s="1"/>
      <c r="Y397" s="1"/>
    </row>
    <row r="398" spans="1:25" ht="12.75" x14ac:dyDescent="0.35">
      <c r="A398" s="1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5"/>
      <c r="S398" s="1"/>
      <c r="T398" s="1"/>
      <c r="U398" s="24"/>
      <c r="V398" s="1"/>
      <c r="W398" s="5"/>
      <c r="X398" s="1"/>
      <c r="Y398" s="1"/>
    </row>
    <row r="399" spans="1:25" ht="12.75" x14ac:dyDescent="0.35">
      <c r="A399" s="1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5"/>
      <c r="S399" s="1"/>
      <c r="T399" s="1"/>
      <c r="U399" s="24"/>
      <c r="V399" s="1"/>
      <c r="W399" s="5"/>
      <c r="X399" s="1"/>
      <c r="Y399" s="1"/>
    </row>
    <row r="400" spans="1:25" ht="12.75" x14ac:dyDescent="0.35">
      <c r="A400" s="1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5"/>
      <c r="S400" s="1"/>
      <c r="T400" s="1"/>
      <c r="U400" s="24"/>
      <c r="V400" s="1"/>
      <c r="W400" s="5"/>
      <c r="X400" s="1"/>
      <c r="Y400" s="1"/>
    </row>
    <row r="401" spans="1:25" ht="12.75" x14ac:dyDescent="0.35">
      <c r="A401" s="1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5"/>
      <c r="S401" s="1"/>
      <c r="T401" s="1"/>
      <c r="U401" s="24"/>
      <c r="V401" s="1"/>
      <c r="W401" s="5"/>
      <c r="X401" s="1"/>
      <c r="Y401" s="1"/>
    </row>
    <row r="402" spans="1:25" ht="12.75" x14ac:dyDescent="0.35">
      <c r="A402" s="1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5"/>
      <c r="S402" s="1"/>
      <c r="T402" s="1"/>
      <c r="U402" s="24"/>
      <c r="V402" s="1"/>
      <c r="W402" s="5"/>
      <c r="X402" s="1"/>
      <c r="Y402" s="1"/>
    </row>
    <row r="403" spans="1:25" ht="12.75" x14ac:dyDescent="0.35">
      <c r="A403" s="1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5"/>
      <c r="S403" s="1"/>
      <c r="T403" s="1"/>
      <c r="U403" s="24"/>
      <c r="V403" s="1"/>
      <c r="W403" s="5"/>
      <c r="X403" s="1"/>
      <c r="Y403" s="1"/>
    </row>
    <row r="404" spans="1:25" ht="12.75" x14ac:dyDescent="0.35">
      <c r="A404" s="1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5"/>
      <c r="S404" s="1"/>
      <c r="T404" s="1"/>
      <c r="U404" s="24"/>
      <c r="V404" s="1"/>
      <c r="W404" s="5"/>
      <c r="X404" s="1"/>
      <c r="Y404" s="1"/>
    </row>
    <row r="405" spans="1:25" ht="12.75" x14ac:dyDescent="0.35">
      <c r="A405" s="1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5"/>
      <c r="S405" s="1"/>
      <c r="T405" s="1"/>
      <c r="U405" s="24"/>
      <c r="V405" s="1"/>
      <c r="W405" s="5"/>
      <c r="X405" s="1"/>
      <c r="Y405" s="1"/>
    </row>
    <row r="406" spans="1:25" ht="12.75" x14ac:dyDescent="0.35">
      <c r="A406" s="1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5"/>
      <c r="S406" s="1"/>
      <c r="T406" s="1"/>
      <c r="U406" s="24"/>
      <c r="V406" s="1"/>
      <c r="W406" s="5"/>
      <c r="X406" s="1"/>
      <c r="Y406" s="1"/>
    </row>
    <row r="407" spans="1:25" ht="12.75" x14ac:dyDescent="0.35">
      <c r="A407" s="1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5"/>
      <c r="S407" s="1"/>
      <c r="T407" s="1"/>
      <c r="U407" s="24"/>
      <c r="V407" s="1"/>
      <c r="W407" s="5"/>
      <c r="X407" s="1"/>
      <c r="Y407" s="1"/>
    </row>
    <row r="408" spans="1:25" ht="12.75" x14ac:dyDescent="0.35">
      <c r="A408" s="1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5"/>
      <c r="S408" s="1"/>
      <c r="T408" s="1"/>
      <c r="U408" s="24"/>
      <c r="V408" s="1"/>
      <c r="W408" s="5"/>
      <c r="X408" s="1"/>
      <c r="Y408" s="1"/>
    </row>
    <row r="409" spans="1:25" ht="12.75" x14ac:dyDescent="0.35">
      <c r="A409" s="1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5"/>
      <c r="S409" s="1"/>
      <c r="T409" s="1"/>
      <c r="U409" s="24"/>
      <c r="V409" s="1"/>
      <c r="W409" s="5"/>
      <c r="X409" s="1"/>
      <c r="Y409" s="1"/>
    </row>
    <row r="410" spans="1:25" ht="12.75" x14ac:dyDescent="0.35">
      <c r="A410" s="1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5"/>
      <c r="S410" s="1"/>
      <c r="T410" s="1"/>
      <c r="U410" s="24"/>
      <c r="V410" s="1"/>
      <c r="W410" s="5"/>
      <c r="X410" s="1"/>
      <c r="Y410" s="1"/>
    </row>
    <row r="411" spans="1:25" ht="12.75" x14ac:dyDescent="0.35">
      <c r="A411" s="1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5"/>
      <c r="S411" s="1"/>
      <c r="T411" s="1"/>
      <c r="U411" s="24"/>
      <c r="V411" s="1"/>
      <c r="W411" s="5"/>
      <c r="X411" s="1"/>
      <c r="Y411" s="1"/>
    </row>
    <row r="412" spans="1:25" ht="12.75" x14ac:dyDescent="0.35">
      <c r="A412" s="1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5"/>
      <c r="S412" s="1"/>
      <c r="T412" s="1"/>
      <c r="U412" s="24"/>
      <c r="V412" s="1"/>
      <c r="W412" s="5"/>
      <c r="X412" s="1"/>
      <c r="Y412" s="1"/>
    </row>
    <row r="413" spans="1:25" ht="12.75" x14ac:dyDescent="0.35">
      <c r="A413" s="1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5"/>
      <c r="S413" s="1"/>
      <c r="T413" s="1"/>
      <c r="U413" s="24"/>
      <c r="V413" s="1"/>
      <c r="W413" s="5"/>
      <c r="X413" s="1"/>
      <c r="Y413" s="1"/>
    </row>
    <row r="414" spans="1:25" ht="12.75" x14ac:dyDescent="0.35">
      <c r="A414" s="1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5"/>
      <c r="S414" s="1"/>
      <c r="T414" s="1"/>
      <c r="U414" s="24"/>
      <c r="V414" s="1"/>
      <c r="W414" s="5"/>
      <c r="X414" s="1"/>
      <c r="Y414" s="1"/>
    </row>
    <row r="415" spans="1:25" ht="12.75" x14ac:dyDescent="0.35">
      <c r="A415" s="1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5"/>
      <c r="S415" s="1"/>
      <c r="T415" s="1"/>
      <c r="U415" s="24"/>
      <c r="V415" s="1"/>
      <c r="W415" s="5"/>
      <c r="X415" s="1"/>
      <c r="Y415" s="1"/>
    </row>
    <row r="416" spans="1:25" ht="12.75" x14ac:dyDescent="0.35">
      <c r="A416" s="1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5"/>
      <c r="S416" s="1"/>
      <c r="T416" s="1"/>
      <c r="U416" s="24"/>
      <c r="V416" s="1"/>
      <c r="W416" s="5"/>
      <c r="X416" s="1"/>
      <c r="Y416" s="1"/>
    </row>
    <row r="417" spans="1:25" ht="12.75" x14ac:dyDescent="0.35">
      <c r="A417" s="1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5"/>
      <c r="S417" s="1"/>
      <c r="T417" s="1"/>
      <c r="U417" s="24"/>
      <c r="V417" s="1"/>
      <c r="W417" s="5"/>
      <c r="X417" s="1"/>
      <c r="Y417" s="1"/>
    </row>
    <row r="418" spans="1:25" ht="12.75" x14ac:dyDescent="0.35">
      <c r="A418" s="1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5"/>
      <c r="S418" s="1"/>
      <c r="T418" s="1"/>
      <c r="U418" s="24"/>
      <c r="V418" s="1"/>
      <c r="W418" s="5"/>
      <c r="X418" s="1"/>
      <c r="Y418" s="1"/>
    </row>
    <row r="419" spans="1:25" ht="12.75" x14ac:dyDescent="0.35">
      <c r="A419" s="1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5"/>
      <c r="S419" s="1"/>
      <c r="T419" s="1"/>
      <c r="U419" s="24"/>
      <c r="V419" s="1"/>
      <c r="W419" s="5"/>
      <c r="X419" s="1"/>
      <c r="Y419" s="1"/>
    </row>
    <row r="420" spans="1:25" ht="12.75" x14ac:dyDescent="0.35">
      <c r="A420" s="1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5"/>
      <c r="S420" s="1"/>
      <c r="T420" s="1"/>
      <c r="U420" s="24"/>
      <c r="V420" s="1"/>
      <c r="W420" s="5"/>
      <c r="X420" s="1"/>
      <c r="Y420" s="1"/>
    </row>
    <row r="421" spans="1:25" ht="12.75" x14ac:dyDescent="0.35">
      <c r="A421" s="1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5"/>
      <c r="S421" s="1"/>
      <c r="T421" s="1"/>
      <c r="U421" s="24"/>
      <c r="V421" s="1"/>
      <c r="W421" s="5"/>
      <c r="X421" s="1"/>
      <c r="Y421" s="1"/>
    </row>
    <row r="422" spans="1:25" ht="12.75" x14ac:dyDescent="0.35">
      <c r="A422" s="1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5"/>
      <c r="S422" s="1"/>
      <c r="T422" s="1"/>
      <c r="U422" s="24"/>
      <c r="V422" s="1"/>
      <c r="W422" s="5"/>
      <c r="X422" s="1"/>
      <c r="Y422" s="1"/>
    </row>
    <row r="423" spans="1:25" ht="12.75" x14ac:dyDescent="0.35">
      <c r="A423" s="1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5"/>
      <c r="S423" s="1"/>
      <c r="T423" s="1"/>
      <c r="U423" s="24"/>
      <c r="V423" s="1"/>
      <c r="W423" s="5"/>
      <c r="X423" s="1"/>
      <c r="Y423" s="1"/>
    </row>
    <row r="424" spans="1:25" ht="12.75" x14ac:dyDescent="0.35">
      <c r="A424" s="1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5"/>
      <c r="S424" s="1"/>
      <c r="T424" s="1"/>
      <c r="U424" s="24"/>
      <c r="V424" s="1"/>
      <c r="W424" s="5"/>
      <c r="X424" s="1"/>
      <c r="Y424" s="1"/>
    </row>
    <row r="425" spans="1:25" ht="12.75" x14ac:dyDescent="0.35">
      <c r="A425" s="1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5"/>
      <c r="S425" s="1"/>
      <c r="T425" s="1"/>
      <c r="U425" s="24"/>
      <c r="V425" s="1"/>
      <c r="W425" s="5"/>
      <c r="X425" s="1"/>
      <c r="Y425" s="1"/>
    </row>
    <row r="426" spans="1:25" ht="12.75" x14ac:dyDescent="0.35">
      <c r="A426" s="1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5"/>
      <c r="S426" s="1"/>
      <c r="T426" s="1"/>
      <c r="U426" s="24"/>
      <c r="V426" s="1"/>
      <c r="W426" s="5"/>
      <c r="X426" s="1"/>
      <c r="Y426" s="1"/>
    </row>
    <row r="427" spans="1:25" ht="12.75" x14ac:dyDescent="0.35">
      <c r="A427" s="1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5"/>
      <c r="S427" s="1"/>
      <c r="T427" s="1"/>
      <c r="U427" s="24"/>
      <c r="V427" s="1"/>
      <c r="W427" s="5"/>
      <c r="X427" s="1"/>
      <c r="Y427" s="1"/>
    </row>
    <row r="428" spans="1:25" ht="12.75" x14ac:dyDescent="0.35">
      <c r="A428" s="1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5"/>
      <c r="S428" s="1"/>
      <c r="T428" s="1"/>
      <c r="U428" s="24"/>
      <c r="V428" s="1"/>
      <c r="W428" s="5"/>
      <c r="X428" s="1"/>
      <c r="Y428" s="1"/>
    </row>
    <row r="429" spans="1:25" ht="12.75" x14ac:dyDescent="0.35">
      <c r="A429" s="1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5"/>
      <c r="S429" s="1"/>
      <c r="T429" s="1"/>
      <c r="U429" s="24"/>
      <c r="V429" s="1"/>
      <c r="W429" s="5"/>
      <c r="X429" s="1"/>
      <c r="Y429" s="1"/>
    </row>
    <row r="430" spans="1:25" ht="12.75" x14ac:dyDescent="0.35">
      <c r="A430" s="1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5"/>
      <c r="S430" s="1"/>
      <c r="T430" s="1"/>
      <c r="U430" s="24"/>
      <c r="V430" s="1"/>
      <c r="W430" s="5"/>
      <c r="X430" s="1"/>
      <c r="Y430" s="1"/>
    </row>
    <row r="431" spans="1:25" ht="12.75" x14ac:dyDescent="0.35">
      <c r="A431" s="1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5"/>
      <c r="S431" s="1"/>
      <c r="T431" s="1"/>
      <c r="U431" s="24"/>
      <c r="V431" s="1"/>
      <c r="W431" s="5"/>
      <c r="X431" s="1"/>
      <c r="Y431" s="1"/>
    </row>
    <row r="432" spans="1:25" ht="12.75" x14ac:dyDescent="0.35">
      <c r="A432" s="1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5"/>
      <c r="S432" s="1"/>
      <c r="T432" s="1"/>
      <c r="U432" s="24"/>
      <c r="V432" s="1"/>
      <c r="W432" s="5"/>
      <c r="X432" s="1"/>
      <c r="Y432" s="1"/>
    </row>
    <row r="433" spans="1:25" ht="12.75" x14ac:dyDescent="0.35">
      <c r="A433" s="1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5"/>
      <c r="S433" s="1"/>
      <c r="T433" s="1"/>
      <c r="U433" s="24"/>
      <c r="V433" s="1"/>
      <c r="W433" s="5"/>
      <c r="X433" s="1"/>
      <c r="Y433" s="1"/>
    </row>
    <row r="434" spans="1:25" ht="12.75" x14ac:dyDescent="0.35">
      <c r="A434" s="1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5"/>
      <c r="S434" s="1"/>
      <c r="T434" s="1"/>
      <c r="U434" s="24"/>
      <c r="V434" s="1"/>
      <c r="W434" s="5"/>
      <c r="X434" s="1"/>
      <c r="Y434" s="1"/>
    </row>
    <row r="435" spans="1:25" ht="12.75" x14ac:dyDescent="0.35">
      <c r="A435" s="1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5"/>
      <c r="S435" s="1"/>
      <c r="T435" s="1"/>
      <c r="U435" s="24"/>
      <c r="V435" s="1"/>
      <c r="W435" s="5"/>
      <c r="X435" s="1"/>
      <c r="Y435" s="1"/>
    </row>
    <row r="436" spans="1:25" ht="12.75" x14ac:dyDescent="0.35">
      <c r="A436" s="1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5"/>
      <c r="S436" s="1"/>
      <c r="T436" s="1"/>
      <c r="U436" s="24"/>
      <c r="V436" s="1"/>
      <c r="W436" s="5"/>
      <c r="X436" s="1"/>
      <c r="Y436" s="1"/>
    </row>
    <row r="437" spans="1:25" ht="12.75" x14ac:dyDescent="0.35">
      <c r="A437" s="1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5"/>
      <c r="S437" s="1"/>
      <c r="T437" s="1"/>
      <c r="U437" s="24"/>
      <c r="V437" s="1"/>
      <c r="W437" s="5"/>
      <c r="X437" s="1"/>
      <c r="Y437" s="1"/>
    </row>
    <row r="438" spans="1:25" ht="12.75" x14ac:dyDescent="0.35">
      <c r="A438" s="1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5"/>
      <c r="S438" s="1"/>
      <c r="T438" s="1"/>
      <c r="U438" s="24"/>
      <c r="V438" s="1"/>
      <c r="W438" s="5"/>
      <c r="X438" s="1"/>
      <c r="Y438" s="1"/>
    </row>
    <row r="439" spans="1:25" ht="12.75" x14ac:dyDescent="0.35">
      <c r="A439" s="1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5"/>
      <c r="S439" s="1"/>
      <c r="T439" s="1"/>
      <c r="U439" s="24"/>
      <c r="V439" s="1"/>
      <c r="W439" s="5"/>
      <c r="X439" s="1"/>
      <c r="Y439" s="1"/>
    </row>
    <row r="440" spans="1:25" ht="12.75" x14ac:dyDescent="0.35">
      <c r="A440" s="1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5"/>
      <c r="S440" s="1"/>
      <c r="T440" s="1"/>
      <c r="U440" s="24"/>
      <c r="V440" s="1"/>
      <c r="W440" s="5"/>
      <c r="X440" s="1"/>
      <c r="Y440" s="1"/>
    </row>
    <row r="441" spans="1:25" ht="12.75" x14ac:dyDescent="0.35">
      <c r="A441" s="1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5"/>
      <c r="S441" s="1"/>
      <c r="T441" s="1"/>
      <c r="U441" s="24"/>
      <c r="V441" s="1"/>
      <c r="W441" s="5"/>
      <c r="X441" s="1"/>
      <c r="Y441" s="1"/>
    </row>
    <row r="442" spans="1:25" ht="12.75" x14ac:dyDescent="0.35">
      <c r="A442" s="1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5"/>
      <c r="S442" s="1"/>
      <c r="T442" s="1"/>
      <c r="U442" s="24"/>
      <c r="V442" s="1"/>
      <c r="W442" s="5"/>
      <c r="X442" s="1"/>
      <c r="Y442" s="1"/>
    </row>
    <row r="443" spans="1:25" ht="12.75" x14ac:dyDescent="0.35">
      <c r="A443" s="1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5"/>
      <c r="S443" s="1"/>
      <c r="T443" s="1"/>
      <c r="U443" s="24"/>
      <c r="V443" s="1"/>
      <c r="W443" s="5"/>
      <c r="X443" s="1"/>
      <c r="Y443" s="1"/>
    </row>
    <row r="444" spans="1:25" ht="12.75" x14ac:dyDescent="0.35">
      <c r="A444" s="1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5"/>
      <c r="S444" s="1"/>
      <c r="T444" s="1"/>
      <c r="U444" s="24"/>
      <c r="V444" s="1"/>
      <c r="W444" s="5"/>
      <c r="X444" s="1"/>
      <c r="Y444" s="1"/>
    </row>
    <row r="445" spans="1:25" ht="12.75" x14ac:dyDescent="0.35">
      <c r="A445" s="1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5"/>
      <c r="S445" s="1"/>
      <c r="T445" s="1"/>
      <c r="U445" s="24"/>
      <c r="V445" s="1"/>
      <c r="W445" s="5"/>
      <c r="X445" s="1"/>
      <c r="Y445" s="1"/>
    </row>
    <row r="446" spans="1:25" ht="12.75" x14ac:dyDescent="0.35">
      <c r="A446" s="1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5"/>
      <c r="S446" s="1"/>
      <c r="T446" s="1"/>
      <c r="U446" s="24"/>
      <c r="V446" s="1"/>
      <c r="W446" s="5"/>
      <c r="X446" s="1"/>
      <c r="Y446" s="1"/>
    </row>
    <row r="447" spans="1:25" ht="12.75" x14ac:dyDescent="0.35">
      <c r="A447" s="1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5"/>
      <c r="S447" s="1"/>
      <c r="T447" s="1"/>
      <c r="U447" s="24"/>
      <c r="V447" s="1"/>
      <c r="W447" s="5"/>
      <c r="X447" s="1"/>
      <c r="Y447" s="1"/>
    </row>
    <row r="448" spans="1:25" ht="12.75" x14ac:dyDescent="0.35">
      <c r="A448" s="1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5"/>
      <c r="S448" s="1"/>
      <c r="T448" s="1"/>
      <c r="U448" s="24"/>
      <c r="V448" s="1"/>
      <c r="W448" s="5"/>
      <c r="X448" s="1"/>
      <c r="Y448" s="1"/>
    </row>
    <row r="449" spans="1:25" ht="12.75" x14ac:dyDescent="0.35">
      <c r="A449" s="1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5"/>
      <c r="S449" s="1"/>
      <c r="T449" s="1"/>
      <c r="U449" s="24"/>
      <c r="V449" s="1"/>
      <c r="W449" s="5"/>
      <c r="X449" s="1"/>
      <c r="Y449" s="1"/>
    </row>
    <row r="450" spans="1:25" ht="12.75" x14ac:dyDescent="0.35">
      <c r="A450" s="1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5"/>
      <c r="S450" s="1"/>
      <c r="T450" s="1"/>
      <c r="U450" s="24"/>
      <c r="V450" s="1"/>
      <c r="W450" s="5"/>
      <c r="X450" s="1"/>
      <c r="Y450" s="1"/>
    </row>
    <row r="451" spans="1:25" ht="12.75" x14ac:dyDescent="0.35">
      <c r="A451" s="1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5"/>
      <c r="S451" s="1"/>
      <c r="T451" s="1"/>
      <c r="U451" s="24"/>
      <c r="V451" s="1"/>
      <c r="W451" s="5"/>
      <c r="X451" s="1"/>
      <c r="Y451" s="1"/>
    </row>
    <row r="452" spans="1:25" ht="12.75" x14ac:dyDescent="0.35">
      <c r="A452" s="1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5"/>
      <c r="S452" s="1"/>
      <c r="T452" s="1"/>
      <c r="U452" s="24"/>
      <c r="V452" s="1"/>
      <c r="W452" s="5"/>
      <c r="X452" s="1"/>
      <c r="Y452" s="1"/>
    </row>
    <row r="453" spans="1:25" ht="12.75" x14ac:dyDescent="0.35">
      <c r="A453" s="1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5"/>
      <c r="S453" s="1"/>
      <c r="T453" s="1"/>
      <c r="U453" s="24"/>
      <c r="V453" s="1"/>
      <c r="W453" s="5"/>
      <c r="X453" s="1"/>
      <c r="Y453" s="1"/>
    </row>
    <row r="454" spans="1:25" ht="12.75" x14ac:dyDescent="0.35">
      <c r="A454" s="1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5"/>
      <c r="S454" s="1"/>
      <c r="T454" s="1"/>
      <c r="U454" s="24"/>
      <c r="V454" s="1"/>
      <c r="W454" s="5"/>
      <c r="X454" s="1"/>
      <c r="Y454" s="1"/>
    </row>
    <row r="455" spans="1:25" ht="12.75" x14ac:dyDescent="0.35">
      <c r="A455" s="1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5"/>
      <c r="S455" s="1"/>
      <c r="T455" s="1"/>
      <c r="U455" s="24"/>
      <c r="V455" s="1"/>
      <c r="W455" s="5"/>
      <c r="X455" s="1"/>
      <c r="Y455" s="1"/>
    </row>
    <row r="456" spans="1:25" ht="12.75" x14ac:dyDescent="0.35">
      <c r="A456" s="1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5"/>
      <c r="S456" s="1"/>
      <c r="T456" s="1"/>
      <c r="U456" s="24"/>
      <c r="V456" s="1"/>
      <c r="W456" s="5"/>
      <c r="X456" s="1"/>
      <c r="Y456" s="1"/>
    </row>
    <row r="457" spans="1:25" ht="12.75" x14ac:dyDescent="0.35">
      <c r="A457" s="1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5"/>
      <c r="S457" s="1"/>
      <c r="T457" s="1"/>
      <c r="U457" s="24"/>
      <c r="V457" s="1"/>
      <c r="W457" s="5"/>
      <c r="X457" s="1"/>
      <c r="Y457" s="1"/>
    </row>
    <row r="458" spans="1:25" ht="12.75" x14ac:dyDescent="0.35">
      <c r="A458" s="1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5"/>
      <c r="S458" s="1"/>
      <c r="T458" s="1"/>
      <c r="U458" s="24"/>
      <c r="V458" s="1"/>
      <c r="W458" s="5"/>
      <c r="X458" s="1"/>
      <c r="Y458" s="1"/>
    </row>
    <row r="459" spans="1:25" ht="12.75" x14ac:dyDescent="0.35">
      <c r="A459" s="1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5"/>
      <c r="S459" s="1"/>
      <c r="T459" s="1"/>
      <c r="U459" s="24"/>
      <c r="V459" s="1"/>
      <c r="W459" s="5"/>
      <c r="X459" s="1"/>
      <c r="Y459" s="1"/>
    </row>
    <row r="460" spans="1:25" ht="12.75" x14ac:dyDescent="0.35">
      <c r="A460" s="1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5"/>
      <c r="S460" s="1"/>
      <c r="T460" s="1"/>
      <c r="U460" s="24"/>
      <c r="V460" s="1"/>
      <c r="W460" s="5"/>
      <c r="X460" s="1"/>
      <c r="Y460" s="1"/>
    </row>
    <row r="461" spans="1:25" ht="12.75" x14ac:dyDescent="0.35">
      <c r="A461" s="1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5"/>
      <c r="S461" s="1"/>
      <c r="T461" s="1"/>
      <c r="U461" s="24"/>
      <c r="V461" s="1"/>
      <c r="W461" s="5"/>
      <c r="X461" s="1"/>
      <c r="Y461" s="1"/>
    </row>
    <row r="462" spans="1:25" ht="12.75" x14ac:dyDescent="0.35">
      <c r="A462" s="1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5"/>
      <c r="S462" s="1"/>
      <c r="T462" s="1"/>
      <c r="U462" s="24"/>
      <c r="V462" s="1"/>
      <c r="W462" s="5"/>
      <c r="X462" s="1"/>
      <c r="Y462" s="1"/>
    </row>
    <row r="463" spans="1:25" ht="12.75" x14ac:dyDescent="0.35">
      <c r="A463" s="1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5"/>
      <c r="S463" s="1"/>
      <c r="T463" s="1"/>
      <c r="U463" s="24"/>
      <c r="V463" s="1"/>
      <c r="W463" s="5"/>
      <c r="X463" s="1"/>
      <c r="Y463" s="1"/>
    </row>
    <row r="464" spans="1:25" ht="12.75" x14ac:dyDescent="0.35">
      <c r="A464" s="1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5"/>
      <c r="S464" s="1"/>
      <c r="T464" s="1"/>
      <c r="U464" s="24"/>
      <c r="V464" s="1"/>
      <c r="W464" s="5"/>
      <c r="X464" s="1"/>
      <c r="Y464" s="1"/>
    </row>
    <row r="465" spans="1:25" ht="12.75" x14ac:dyDescent="0.35">
      <c r="A465" s="1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5"/>
      <c r="S465" s="1"/>
      <c r="T465" s="1"/>
      <c r="U465" s="24"/>
      <c r="V465" s="1"/>
      <c r="W465" s="5"/>
      <c r="X465" s="1"/>
      <c r="Y465" s="1"/>
    </row>
    <row r="466" spans="1:25" ht="12.75" x14ac:dyDescent="0.35">
      <c r="A466" s="1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5"/>
      <c r="S466" s="1"/>
      <c r="T466" s="1"/>
      <c r="U466" s="24"/>
      <c r="V466" s="1"/>
      <c r="W466" s="5"/>
      <c r="X466" s="1"/>
      <c r="Y466" s="1"/>
    </row>
    <row r="467" spans="1:25" ht="12.75" x14ac:dyDescent="0.35">
      <c r="A467" s="1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5"/>
      <c r="S467" s="1"/>
      <c r="T467" s="1"/>
      <c r="U467" s="24"/>
      <c r="V467" s="1"/>
      <c r="W467" s="5"/>
      <c r="X467" s="1"/>
      <c r="Y467" s="1"/>
    </row>
    <row r="468" spans="1:25" ht="12.75" x14ac:dyDescent="0.35">
      <c r="A468" s="1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5"/>
      <c r="S468" s="1"/>
      <c r="T468" s="1"/>
      <c r="U468" s="24"/>
      <c r="V468" s="1"/>
      <c r="W468" s="5"/>
      <c r="X468" s="1"/>
      <c r="Y468" s="1"/>
    </row>
    <row r="469" spans="1:25" ht="12.75" x14ac:dyDescent="0.35">
      <c r="A469" s="1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5"/>
      <c r="S469" s="1"/>
      <c r="T469" s="1"/>
      <c r="U469" s="24"/>
      <c r="V469" s="1"/>
      <c r="W469" s="5"/>
      <c r="X469" s="1"/>
      <c r="Y469" s="1"/>
    </row>
    <row r="470" spans="1:25" ht="12.75" x14ac:dyDescent="0.35">
      <c r="A470" s="1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5"/>
      <c r="S470" s="1"/>
      <c r="T470" s="1"/>
      <c r="U470" s="24"/>
      <c r="V470" s="1"/>
      <c r="W470" s="5"/>
      <c r="X470" s="1"/>
      <c r="Y470" s="1"/>
    </row>
    <row r="471" spans="1:25" ht="12.75" x14ac:dyDescent="0.35">
      <c r="A471" s="1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5"/>
      <c r="S471" s="1"/>
      <c r="T471" s="1"/>
      <c r="U471" s="24"/>
      <c r="V471" s="1"/>
      <c r="W471" s="5"/>
      <c r="X471" s="1"/>
      <c r="Y471" s="1"/>
    </row>
    <row r="472" spans="1:25" ht="12.75" x14ac:dyDescent="0.35">
      <c r="A472" s="1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5"/>
      <c r="S472" s="1"/>
      <c r="T472" s="1"/>
      <c r="U472" s="24"/>
      <c r="V472" s="1"/>
      <c r="W472" s="5"/>
      <c r="X472" s="1"/>
      <c r="Y472" s="1"/>
    </row>
    <row r="473" spans="1:25" ht="12.75" x14ac:dyDescent="0.35">
      <c r="A473" s="1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5"/>
      <c r="S473" s="1"/>
      <c r="T473" s="1"/>
      <c r="U473" s="24"/>
      <c r="V473" s="1"/>
      <c r="W473" s="5"/>
      <c r="X473" s="1"/>
      <c r="Y473" s="1"/>
    </row>
    <row r="474" spans="1:25" ht="12.75" x14ac:dyDescent="0.35">
      <c r="A474" s="1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5"/>
      <c r="S474" s="1"/>
      <c r="T474" s="1"/>
      <c r="U474" s="24"/>
      <c r="V474" s="1"/>
      <c r="W474" s="5"/>
      <c r="X474" s="1"/>
      <c r="Y474" s="1"/>
    </row>
    <row r="475" spans="1:25" ht="12.75" x14ac:dyDescent="0.35">
      <c r="A475" s="1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5"/>
      <c r="S475" s="1"/>
      <c r="T475" s="1"/>
      <c r="U475" s="24"/>
      <c r="V475" s="1"/>
      <c r="W475" s="5"/>
      <c r="X475" s="1"/>
      <c r="Y475" s="1"/>
    </row>
    <row r="476" spans="1:25" ht="12.75" x14ac:dyDescent="0.35">
      <c r="A476" s="1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5"/>
      <c r="S476" s="1"/>
      <c r="T476" s="1"/>
      <c r="U476" s="24"/>
      <c r="V476" s="1"/>
      <c r="W476" s="5"/>
      <c r="X476" s="1"/>
      <c r="Y476" s="1"/>
    </row>
    <row r="477" spans="1:25" ht="12.75" x14ac:dyDescent="0.35">
      <c r="A477" s="1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5"/>
      <c r="S477" s="1"/>
      <c r="T477" s="1"/>
      <c r="U477" s="24"/>
      <c r="V477" s="1"/>
      <c r="W477" s="5"/>
      <c r="X477" s="1"/>
      <c r="Y477" s="1"/>
    </row>
    <row r="478" spans="1:25" ht="12.75" x14ac:dyDescent="0.35">
      <c r="A478" s="1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5"/>
      <c r="S478" s="1"/>
      <c r="T478" s="1"/>
      <c r="U478" s="24"/>
      <c r="V478" s="1"/>
      <c r="W478" s="5"/>
      <c r="X478" s="1"/>
      <c r="Y478" s="1"/>
    </row>
    <row r="479" spans="1:25" ht="12.75" x14ac:dyDescent="0.35">
      <c r="A479" s="1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5"/>
      <c r="S479" s="1"/>
      <c r="T479" s="1"/>
      <c r="U479" s="24"/>
      <c r="V479" s="1"/>
      <c r="W479" s="5"/>
      <c r="X479" s="1"/>
      <c r="Y479" s="1"/>
    </row>
    <row r="480" spans="1:25" ht="12.75" x14ac:dyDescent="0.35">
      <c r="A480" s="1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5"/>
      <c r="S480" s="1"/>
      <c r="T480" s="1"/>
      <c r="U480" s="24"/>
      <c r="V480" s="1"/>
      <c r="W480" s="5"/>
      <c r="X480" s="1"/>
      <c r="Y480" s="1"/>
    </row>
    <row r="481" spans="1:25" ht="12.75" x14ac:dyDescent="0.35">
      <c r="A481" s="1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5"/>
      <c r="S481" s="1"/>
      <c r="T481" s="1"/>
      <c r="U481" s="24"/>
      <c r="V481" s="1"/>
      <c r="W481" s="5"/>
      <c r="X481" s="1"/>
      <c r="Y481" s="1"/>
    </row>
    <row r="482" spans="1:25" ht="12.75" x14ac:dyDescent="0.35">
      <c r="A482" s="1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5"/>
      <c r="S482" s="1"/>
      <c r="T482" s="1"/>
      <c r="U482" s="24"/>
      <c r="V482" s="1"/>
      <c r="W482" s="5"/>
      <c r="X482" s="1"/>
      <c r="Y482" s="1"/>
    </row>
    <row r="483" spans="1:25" ht="12.75" x14ac:dyDescent="0.35">
      <c r="A483" s="1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5"/>
      <c r="S483" s="1"/>
      <c r="T483" s="1"/>
      <c r="U483" s="24"/>
      <c r="V483" s="1"/>
      <c r="W483" s="5"/>
      <c r="X483" s="1"/>
      <c r="Y483" s="1"/>
    </row>
    <row r="484" spans="1:25" ht="12.75" x14ac:dyDescent="0.35">
      <c r="A484" s="1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5"/>
      <c r="S484" s="1"/>
      <c r="T484" s="1"/>
      <c r="U484" s="24"/>
      <c r="V484" s="1"/>
      <c r="W484" s="5"/>
      <c r="X484" s="1"/>
      <c r="Y484" s="1"/>
    </row>
    <row r="485" spans="1:25" ht="12.75" x14ac:dyDescent="0.35">
      <c r="A485" s="1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5"/>
      <c r="S485" s="1"/>
      <c r="T485" s="1"/>
      <c r="U485" s="24"/>
      <c r="V485" s="1"/>
      <c r="W485" s="5"/>
      <c r="X485" s="1"/>
      <c r="Y485" s="1"/>
    </row>
    <row r="486" spans="1:25" ht="12.75" x14ac:dyDescent="0.35">
      <c r="A486" s="1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5"/>
      <c r="S486" s="1"/>
      <c r="T486" s="1"/>
      <c r="U486" s="24"/>
      <c r="V486" s="1"/>
      <c r="W486" s="5"/>
      <c r="X486" s="1"/>
      <c r="Y486" s="1"/>
    </row>
    <row r="487" spans="1:25" ht="12.75" x14ac:dyDescent="0.35">
      <c r="A487" s="1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5"/>
      <c r="S487" s="1"/>
      <c r="T487" s="1"/>
      <c r="U487" s="24"/>
      <c r="V487" s="1"/>
      <c r="W487" s="5"/>
      <c r="X487" s="1"/>
      <c r="Y487" s="1"/>
    </row>
    <row r="488" spans="1:25" ht="12.75" x14ac:dyDescent="0.35">
      <c r="A488" s="1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5"/>
      <c r="S488" s="1"/>
      <c r="T488" s="1"/>
      <c r="U488" s="24"/>
      <c r="V488" s="1"/>
      <c r="W488" s="5"/>
      <c r="X488" s="1"/>
      <c r="Y488" s="1"/>
    </row>
    <row r="489" spans="1:25" ht="12.75" x14ac:dyDescent="0.35">
      <c r="A489" s="1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5"/>
      <c r="S489" s="1"/>
      <c r="T489" s="1"/>
      <c r="U489" s="24"/>
      <c r="V489" s="1"/>
      <c r="W489" s="5"/>
      <c r="X489" s="1"/>
      <c r="Y489" s="1"/>
    </row>
    <row r="490" spans="1:25" ht="12.75" x14ac:dyDescent="0.35">
      <c r="A490" s="1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5"/>
      <c r="S490" s="1"/>
      <c r="T490" s="1"/>
      <c r="U490" s="24"/>
      <c r="V490" s="1"/>
      <c r="W490" s="5"/>
      <c r="X490" s="1"/>
      <c r="Y490" s="1"/>
    </row>
    <row r="491" spans="1:25" ht="12.75" x14ac:dyDescent="0.35">
      <c r="A491" s="1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5"/>
      <c r="S491" s="1"/>
      <c r="T491" s="1"/>
      <c r="U491" s="24"/>
      <c r="V491" s="1"/>
      <c r="W491" s="5"/>
      <c r="X491" s="1"/>
      <c r="Y491" s="1"/>
    </row>
    <row r="492" spans="1:25" ht="12.75" x14ac:dyDescent="0.35">
      <c r="A492" s="1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5"/>
      <c r="S492" s="1"/>
      <c r="T492" s="1"/>
      <c r="U492" s="24"/>
      <c r="V492" s="1"/>
      <c r="W492" s="5"/>
      <c r="X492" s="1"/>
      <c r="Y492" s="1"/>
    </row>
    <row r="493" spans="1:25" ht="12.75" x14ac:dyDescent="0.35">
      <c r="A493" s="1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5"/>
      <c r="S493" s="1"/>
      <c r="T493" s="1"/>
      <c r="U493" s="24"/>
      <c r="V493" s="1"/>
      <c r="W493" s="5"/>
      <c r="X493" s="1"/>
      <c r="Y493" s="1"/>
    </row>
    <row r="494" spans="1:25" ht="12.75" x14ac:dyDescent="0.35">
      <c r="A494" s="1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5"/>
      <c r="S494" s="1"/>
      <c r="T494" s="1"/>
      <c r="U494" s="24"/>
      <c r="V494" s="1"/>
      <c r="W494" s="5"/>
      <c r="X494" s="1"/>
      <c r="Y494" s="1"/>
    </row>
    <row r="495" spans="1:25" ht="12.75" x14ac:dyDescent="0.35">
      <c r="A495" s="1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5"/>
      <c r="S495" s="1"/>
      <c r="T495" s="1"/>
      <c r="U495" s="24"/>
      <c r="V495" s="1"/>
      <c r="W495" s="5"/>
      <c r="X495" s="1"/>
      <c r="Y495" s="1"/>
    </row>
    <row r="496" spans="1:25" ht="12.75" x14ac:dyDescent="0.35">
      <c r="A496" s="1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5"/>
      <c r="S496" s="1"/>
      <c r="T496" s="1"/>
      <c r="U496" s="24"/>
      <c r="V496" s="1"/>
      <c r="W496" s="5"/>
      <c r="X496" s="1"/>
      <c r="Y496" s="1"/>
    </row>
    <row r="497" spans="1:25" ht="12.75" x14ac:dyDescent="0.35">
      <c r="A497" s="1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5"/>
      <c r="S497" s="1"/>
      <c r="T497" s="1"/>
      <c r="U497" s="24"/>
      <c r="V497" s="1"/>
      <c r="W497" s="5"/>
      <c r="X497" s="1"/>
      <c r="Y497" s="1"/>
    </row>
    <row r="498" spans="1:25" ht="12.75" x14ac:dyDescent="0.35">
      <c r="A498" s="1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5"/>
      <c r="S498" s="1"/>
      <c r="T498" s="1"/>
      <c r="U498" s="24"/>
      <c r="V498" s="1"/>
      <c r="W498" s="5"/>
      <c r="X498" s="1"/>
      <c r="Y498" s="1"/>
    </row>
    <row r="499" spans="1:25" ht="12.75" x14ac:dyDescent="0.35">
      <c r="A499" s="1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5"/>
      <c r="S499" s="1"/>
      <c r="T499" s="1"/>
      <c r="U499" s="24"/>
      <c r="V499" s="1"/>
      <c r="W499" s="5"/>
      <c r="X499" s="1"/>
      <c r="Y499" s="1"/>
    </row>
    <row r="500" spans="1:25" ht="12.75" x14ac:dyDescent="0.35">
      <c r="A500" s="1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5"/>
      <c r="S500" s="1"/>
      <c r="T500" s="1"/>
      <c r="U500" s="24"/>
      <c r="V500" s="1"/>
      <c r="W500" s="5"/>
      <c r="X500" s="1"/>
      <c r="Y500" s="1"/>
    </row>
    <row r="501" spans="1:25" ht="12.75" x14ac:dyDescent="0.35">
      <c r="A501" s="1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5"/>
      <c r="S501" s="1"/>
      <c r="T501" s="1"/>
      <c r="U501" s="24"/>
      <c r="V501" s="1"/>
      <c r="W501" s="5"/>
      <c r="X501" s="1"/>
      <c r="Y501" s="1"/>
    </row>
    <row r="502" spans="1:25" ht="12.75" x14ac:dyDescent="0.35">
      <c r="A502" s="1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5"/>
      <c r="S502" s="1"/>
      <c r="T502" s="1"/>
      <c r="U502" s="24"/>
      <c r="V502" s="1"/>
      <c r="W502" s="5"/>
      <c r="X502" s="1"/>
      <c r="Y502" s="1"/>
    </row>
    <row r="503" spans="1:25" ht="12.75" x14ac:dyDescent="0.35">
      <c r="A503" s="1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5"/>
      <c r="S503" s="1"/>
      <c r="T503" s="1"/>
      <c r="U503" s="24"/>
      <c r="V503" s="1"/>
      <c r="W503" s="5"/>
      <c r="X503" s="1"/>
      <c r="Y503" s="1"/>
    </row>
    <row r="504" spans="1:25" ht="12.75" x14ac:dyDescent="0.35">
      <c r="A504" s="1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5"/>
      <c r="S504" s="1"/>
      <c r="T504" s="1"/>
      <c r="U504" s="24"/>
      <c r="V504" s="1"/>
      <c r="W504" s="5"/>
      <c r="X504" s="1"/>
      <c r="Y504" s="1"/>
    </row>
    <row r="505" spans="1:25" ht="12.75" x14ac:dyDescent="0.35">
      <c r="A505" s="1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5"/>
      <c r="S505" s="1"/>
      <c r="T505" s="1"/>
      <c r="U505" s="24"/>
      <c r="V505" s="1"/>
      <c r="W505" s="5"/>
      <c r="X505" s="1"/>
      <c r="Y505" s="1"/>
    </row>
    <row r="506" spans="1:25" ht="12.75" x14ac:dyDescent="0.35">
      <c r="A506" s="1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5"/>
      <c r="S506" s="1"/>
      <c r="T506" s="1"/>
      <c r="U506" s="24"/>
      <c r="V506" s="1"/>
      <c r="W506" s="5"/>
      <c r="X506" s="1"/>
      <c r="Y506" s="1"/>
    </row>
    <row r="507" spans="1:25" ht="12.75" x14ac:dyDescent="0.35">
      <c r="A507" s="1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5"/>
      <c r="S507" s="1"/>
      <c r="T507" s="1"/>
      <c r="U507" s="24"/>
      <c r="V507" s="1"/>
      <c r="W507" s="5"/>
      <c r="X507" s="1"/>
      <c r="Y507" s="1"/>
    </row>
    <row r="508" spans="1:25" ht="12.75" x14ac:dyDescent="0.35">
      <c r="A508" s="1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5"/>
      <c r="S508" s="1"/>
      <c r="T508" s="1"/>
      <c r="U508" s="24"/>
      <c r="V508" s="1"/>
      <c r="W508" s="5"/>
      <c r="X508" s="1"/>
      <c r="Y508" s="1"/>
    </row>
    <row r="509" spans="1:25" ht="12.75" x14ac:dyDescent="0.35">
      <c r="A509" s="1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5"/>
      <c r="S509" s="1"/>
      <c r="T509" s="1"/>
      <c r="U509" s="24"/>
      <c r="V509" s="1"/>
      <c r="W509" s="5"/>
      <c r="X509" s="1"/>
      <c r="Y509" s="1"/>
    </row>
    <row r="510" spans="1:25" ht="12.75" x14ac:dyDescent="0.35">
      <c r="A510" s="1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5"/>
      <c r="S510" s="1"/>
      <c r="T510" s="1"/>
      <c r="U510" s="24"/>
      <c r="V510" s="1"/>
      <c r="W510" s="5"/>
      <c r="X510" s="1"/>
      <c r="Y510" s="1"/>
    </row>
    <row r="511" spans="1:25" ht="12.75" x14ac:dyDescent="0.35">
      <c r="A511" s="1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5"/>
      <c r="S511" s="1"/>
      <c r="T511" s="1"/>
      <c r="U511" s="24"/>
      <c r="V511" s="1"/>
      <c r="W511" s="5"/>
      <c r="X511" s="1"/>
      <c r="Y511" s="1"/>
    </row>
    <row r="512" spans="1:25" ht="12.75" x14ac:dyDescent="0.35">
      <c r="A512" s="1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5"/>
      <c r="S512" s="1"/>
      <c r="T512" s="1"/>
      <c r="U512" s="24"/>
      <c r="V512" s="1"/>
      <c r="W512" s="5"/>
      <c r="X512" s="1"/>
      <c r="Y512" s="1"/>
    </row>
    <row r="513" spans="1:25" ht="12.75" x14ac:dyDescent="0.35">
      <c r="A513" s="1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5"/>
      <c r="S513" s="1"/>
      <c r="T513" s="1"/>
      <c r="U513" s="24"/>
      <c r="V513" s="1"/>
      <c r="W513" s="5"/>
      <c r="X513" s="1"/>
      <c r="Y513" s="1"/>
    </row>
    <row r="514" spans="1:25" ht="12.75" x14ac:dyDescent="0.35">
      <c r="A514" s="1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5"/>
      <c r="S514" s="1"/>
      <c r="T514" s="1"/>
      <c r="U514" s="24"/>
      <c r="V514" s="1"/>
      <c r="W514" s="5"/>
      <c r="X514" s="1"/>
      <c r="Y514" s="1"/>
    </row>
    <row r="515" spans="1:25" ht="12.75" x14ac:dyDescent="0.35">
      <c r="A515" s="1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5"/>
      <c r="S515" s="1"/>
      <c r="T515" s="1"/>
      <c r="U515" s="24"/>
      <c r="V515" s="1"/>
      <c r="W515" s="5"/>
      <c r="X515" s="1"/>
      <c r="Y515" s="1"/>
    </row>
    <row r="516" spans="1:25" ht="12.75" x14ac:dyDescent="0.35">
      <c r="A516" s="1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5"/>
      <c r="S516" s="1"/>
      <c r="T516" s="1"/>
      <c r="U516" s="24"/>
      <c r="V516" s="1"/>
      <c r="W516" s="5"/>
      <c r="X516" s="1"/>
      <c r="Y516" s="1"/>
    </row>
    <row r="517" spans="1:25" ht="12.75" x14ac:dyDescent="0.35">
      <c r="A517" s="1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5"/>
      <c r="S517" s="1"/>
      <c r="T517" s="1"/>
      <c r="U517" s="24"/>
      <c r="V517" s="1"/>
      <c r="W517" s="5"/>
      <c r="X517" s="1"/>
      <c r="Y517" s="1"/>
    </row>
    <row r="518" spans="1:25" ht="12.75" x14ac:dyDescent="0.35">
      <c r="A518" s="1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5"/>
      <c r="S518" s="1"/>
      <c r="T518" s="1"/>
      <c r="U518" s="24"/>
      <c r="V518" s="1"/>
      <c r="W518" s="5"/>
      <c r="X518" s="1"/>
      <c r="Y518" s="1"/>
    </row>
    <row r="519" spans="1:25" ht="12.75" x14ac:dyDescent="0.35">
      <c r="A519" s="1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5"/>
      <c r="S519" s="1"/>
      <c r="T519" s="1"/>
      <c r="U519" s="24"/>
      <c r="V519" s="1"/>
      <c r="W519" s="5"/>
      <c r="X519" s="1"/>
      <c r="Y519" s="1"/>
    </row>
    <row r="520" spans="1:25" ht="12.75" x14ac:dyDescent="0.35">
      <c r="A520" s="1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5"/>
      <c r="S520" s="1"/>
      <c r="T520" s="1"/>
      <c r="U520" s="24"/>
      <c r="V520" s="1"/>
      <c r="W520" s="5"/>
      <c r="X520" s="1"/>
      <c r="Y520" s="1"/>
    </row>
    <row r="521" spans="1:25" ht="12.75" x14ac:dyDescent="0.35">
      <c r="A521" s="1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5"/>
      <c r="S521" s="1"/>
      <c r="T521" s="1"/>
      <c r="U521" s="24"/>
      <c r="V521" s="1"/>
      <c r="W521" s="5"/>
      <c r="X521" s="1"/>
      <c r="Y521" s="1"/>
    </row>
    <row r="522" spans="1:25" ht="12.75" x14ac:dyDescent="0.35">
      <c r="A522" s="1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5"/>
      <c r="S522" s="1"/>
      <c r="T522" s="1"/>
      <c r="U522" s="24"/>
      <c r="V522" s="1"/>
      <c r="W522" s="5"/>
      <c r="X522" s="1"/>
      <c r="Y522" s="1"/>
    </row>
    <row r="523" spans="1:25" ht="12.75" x14ac:dyDescent="0.35">
      <c r="A523" s="1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5"/>
      <c r="S523" s="1"/>
      <c r="T523" s="1"/>
      <c r="U523" s="24"/>
      <c r="V523" s="1"/>
      <c r="W523" s="5"/>
      <c r="X523" s="1"/>
      <c r="Y523" s="1"/>
    </row>
    <row r="524" spans="1:25" ht="12.75" x14ac:dyDescent="0.35">
      <c r="A524" s="1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5"/>
      <c r="S524" s="1"/>
      <c r="T524" s="1"/>
      <c r="U524" s="24"/>
      <c r="V524" s="1"/>
      <c r="W524" s="5"/>
      <c r="X524" s="1"/>
      <c r="Y524" s="1"/>
    </row>
    <row r="525" spans="1:25" ht="12.75" x14ac:dyDescent="0.35">
      <c r="A525" s="1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5"/>
      <c r="S525" s="1"/>
      <c r="T525" s="1"/>
      <c r="U525" s="24"/>
      <c r="V525" s="1"/>
      <c r="W525" s="5"/>
      <c r="X525" s="1"/>
      <c r="Y525" s="1"/>
    </row>
    <row r="526" spans="1:25" ht="12.75" x14ac:dyDescent="0.35">
      <c r="A526" s="1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5"/>
      <c r="S526" s="1"/>
      <c r="T526" s="1"/>
      <c r="U526" s="24"/>
      <c r="V526" s="1"/>
      <c r="W526" s="5"/>
      <c r="X526" s="1"/>
      <c r="Y526" s="1"/>
    </row>
    <row r="527" spans="1:25" ht="12.75" x14ac:dyDescent="0.35">
      <c r="A527" s="1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5"/>
      <c r="S527" s="1"/>
      <c r="T527" s="1"/>
      <c r="U527" s="24"/>
      <c r="V527" s="1"/>
      <c r="W527" s="5"/>
      <c r="X527" s="1"/>
      <c r="Y527" s="1"/>
    </row>
    <row r="528" spans="1:25" ht="12.75" x14ac:dyDescent="0.35">
      <c r="A528" s="1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5"/>
      <c r="S528" s="1"/>
      <c r="T528" s="1"/>
      <c r="U528" s="24"/>
      <c r="V528" s="1"/>
      <c r="W528" s="5"/>
      <c r="X528" s="1"/>
      <c r="Y528" s="1"/>
    </row>
    <row r="529" spans="1:25" ht="12.75" x14ac:dyDescent="0.35">
      <c r="A529" s="1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5"/>
      <c r="S529" s="1"/>
      <c r="T529" s="1"/>
      <c r="U529" s="24"/>
      <c r="V529" s="1"/>
      <c r="W529" s="5"/>
      <c r="X529" s="1"/>
      <c r="Y529" s="1"/>
    </row>
    <row r="530" spans="1:25" ht="12.75" x14ac:dyDescent="0.35">
      <c r="A530" s="1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5"/>
      <c r="S530" s="1"/>
      <c r="T530" s="1"/>
      <c r="U530" s="24"/>
      <c r="V530" s="1"/>
      <c r="W530" s="5"/>
      <c r="X530" s="1"/>
      <c r="Y530" s="1"/>
    </row>
    <row r="531" spans="1:25" ht="12.75" x14ac:dyDescent="0.35">
      <c r="A531" s="1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5"/>
      <c r="S531" s="1"/>
      <c r="T531" s="1"/>
      <c r="U531" s="24"/>
      <c r="V531" s="1"/>
      <c r="W531" s="5"/>
      <c r="X531" s="1"/>
      <c r="Y531" s="1"/>
    </row>
    <row r="532" spans="1:25" ht="12.75" x14ac:dyDescent="0.35">
      <c r="A532" s="1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5"/>
      <c r="S532" s="1"/>
      <c r="T532" s="1"/>
      <c r="U532" s="24"/>
      <c r="V532" s="1"/>
      <c r="W532" s="5"/>
      <c r="X532" s="1"/>
      <c r="Y532" s="1"/>
    </row>
    <row r="533" spans="1:25" ht="12.75" x14ac:dyDescent="0.35">
      <c r="A533" s="1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5"/>
      <c r="S533" s="1"/>
      <c r="T533" s="1"/>
      <c r="U533" s="24"/>
      <c r="V533" s="1"/>
      <c r="W533" s="5"/>
      <c r="X533" s="1"/>
      <c r="Y533" s="1"/>
    </row>
    <row r="534" spans="1:25" ht="12.75" x14ac:dyDescent="0.35">
      <c r="A534" s="1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5"/>
      <c r="S534" s="1"/>
      <c r="T534" s="1"/>
      <c r="U534" s="24"/>
      <c r="V534" s="1"/>
      <c r="W534" s="5"/>
      <c r="X534" s="1"/>
      <c r="Y534" s="1"/>
    </row>
    <row r="535" spans="1:25" ht="12.75" x14ac:dyDescent="0.35">
      <c r="A535" s="1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5"/>
      <c r="S535" s="1"/>
      <c r="T535" s="1"/>
      <c r="U535" s="24"/>
      <c r="V535" s="1"/>
      <c r="W535" s="5"/>
      <c r="X535" s="1"/>
      <c r="Y535" s="1"/>
    </row>
    <row r="536" spans="1:25" ht="12.75" x14ac:dyDescent="0.35">
      <c r="A536" s="1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5"/>
      <c r="S536" s="1"/>
      <c r="T536" s="1"/>
      <c r="U536" s="24"/>
      <c r="V536" s="1"/>
      <c r="W536" s="5"/>
      <c r="X536" s="1"/>
      <c r="Y536" s="1"/>
    </row>
    <row r="537" spans="1:25" ht="12.75" x14ac:dyDescent="0.35">
      <c r="A537" s="1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5"/>
      <c r="S537" s="1"/>
      <c r="T537" s="1"/>
      <c r="U537" s="24"/>
      <c r="V537" s="1"/>
      <c r="W537" s="5"/>
      <c r="X537" s="1"/>
      <c r="Y537" s="1"/>
    </row>
    <row r="538" spans="1:25" ht="12.75" x14ac:dyDescent="0.35">
      <c r="A538" s="1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5"/>
      <c r="S538" s="1"/>
      <c r="T538" s="1"/>
      <c r="U538" s="24"/>
      <c r="V538" s="1"/>
      <c r="W538" s="5"/>
      <c r="X538" s="1"/>
      <c r="Y538" s="1"/>
    </row>
    <row r="539" spans="1:25" ht="12.75" x14ac:dyDescent="0.35">
      <c r="A539" s="1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5"/>
      <c r="S539" s="1"/>
      <c r="T539" s="1"/>
      <c r="U539" s="24"/>
      <c r="V539" s="1"/>
      <c r="W539" s="5"/>
      <c r="X539" s="1"/>
      <c r="Y539" s="1"/>
    </row>
    <row r="540" spans="1:25" ht="12.75" x14ac:dyDescent="0.35">
      <c r="A540" s="1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5"/>
      <c r="S540" s="1"/>
      <c r="T540" s="1"/>
      <c r="U540" s="24"/>
      <c r="V540" s="1"/>
      <c r="W540" s="5"/>
      <c r="X540" s="1"/>
      <c r="Y540" s="1"/>
    </row>
    <row r="541" spans="1:25" ht="12.75" x14ac:dyDescent="0.35">
      <c r="A541" s="1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5"/>
      <c r="S541" s="1"/>
      <c r="T541" s="1"/>
      <c r="U541" s="24"/>
      <c r="V541" s="1"/>
      <c r="W541" s="5"/>
      <c r="X541" s="1"/>
      <c r="Y541" s="1"/>
    </row>
    <row r="542" spans="1:25" ht="12.75" x14ac:dyDescent="0.35">
      <c r="A542" s="1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5"/>
      <c r="S542" s="1"/>
      <c r="T542" s="1"/>
      <c r="U542" s="24"/>
      <c r="V542" s="1"/>
      <c r="W542" s="5"/>
      <c r="X542" s="1"/>
      <c r="Y542" s="1"/>
    </row>
    <row r="543" spans="1:25" ht="12.75" x14ac:dyDescent="0.35">
      <c r="A543" s="1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5"/>
      <c r="S543" s="1"/>
      <c r="T543" s="1"/>
      <c r="U543" s="24"/>
      <c r="V543" s="1"/>
      <c r="W543" s="5"/>
      <c r="X543" s="1"/>
      <c r="Y543" s="1"/>
    </row>
    <row r="544" spans="1:25" ht="12.75" x14ac:dyDescent="0.35">
      <c r="A544" s="1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5"/>
      <c r="S544" s="1"/>
      <c r="T544" s="1"/>
      <c r="U544" s="24"/>
      <c r="V544" s="1"/>
      <c r="W544" s="5"/>
      <c r="X544" s="1"/>
      <c r="Y544" s="1"/>
    </row>
    <row r="545" spans="1:25" ht="12.75" x14ac:dyDescent="0.35">
      <c r="A545" s="1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5"/>
      <c r="S545" s="1"/>
      <c r="T545" s="1"/>
      <c r="U545" s="24"/>
      <c r="V545" s="1"/>
      <c r="W545" s="5"/>
      <c r="X545" s="1"/>
      <c r="Y545" s="1"/>
    </row>
    <row r="546" spans="1:25" ht="12.75" x14ac:dyDescent="0.35">
      <c r="A546" s="1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5"/>
      <c r="S546" s="1"/>
      <c r="T546" s="1"/>
      <c r="U546" s="24"/>
      <c r="V546" s="1"/>
      <c r="W546" s="5"/>
      <c r="X546" s="1"/>
      <c r="Y546" s="1"/>
    </row>
    <row r="547" spans="1:25" ht="12.75" x14ac:dyDescent="0.35">
      <c r="A547" s="1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5"/>
      <c r="S547" s="1"/>
      <c r="T547" s="1"/>
      <c r="U547" s="24"/>
      <c r="V547" s="1"/>
      <c r="W547" s="5"/>
      <c r="X547" s="1"/>
      <c r="Y547" s="1"/>
    </row>
    <row r="548" spans="1:25" ht="12.75" x14ac:dyDescent="0.35">
      <c r="A548" s="1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5"/>
      <c r="S548" s="1"/>
      <c r="T548" s="1"/>
      <c r="U548" s="24"/>
      <c r="V548" s="1"/>
      <c r="W548" s="5"/>
      <c r="X548" s="1"/>
      <c r="Y548" s="1"/>
    </row>
    <row r="549" spans="1:25" ht="12.75" x14ac:dyDescent="0.35">
      <c r="A549" s="1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5"/>
      <c r="S549" s="1"/>
      <c r="T549" s="1"/>
      <c r="U549" s="24"/>
      <c r="V549" s="1"/>
      <c r="W549" s="5"/>
      <c r="X549" s="1"/>
      <c r="Y549" s="1"/>
    </row>
    <row r="550" spans="1:25" ht="12.75" x14ac:dyDescent="0.35">
      <c r="A550" s="1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5"/>
      <c r="S550" s="1"/>
      <c r="T550" s="1"/>
      <c r="U550" s="24"/>
      <c r="V550" s="1"/>
      <c r="W550" s="5"/>
      <c r="X550" s="1"/>
      <c r="Y550" s="1"/>
    </row>
    <row r="551" spans="1:25" ht="12.75" x14ac:dyDescent="0.35">
      <c r="A551" s="1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5"/>
      <c r="S551" s="1"/>
      <c r="T551" s="1"/>
      <c r="U551" s="24"/>
      <c r="V551" s="1"/>
      <c r="W551" s="5"/>
      <c r="X551" s="1"/>
      <c r="Y551" s="1"/>
    </row>
    <row r="552" spans="1:25" ht="12.75" x14ac:dyDescent="0.35">
      <c r="A552" s="1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5"/>
      <c r="S552" s="1"/>
      <c r="T552" s="1"/>
      <c r="U552" s="24"/>
      <c r="V552" s="1"/>
      <c r="W552" s="5"/>
      <c r="X552" s="1"/>
      <c r="Y552" s="1"/>
    </row>
    <row r="553" spans="1:25" ht="12.75" x14ac:dyDescent="0.35">
      <c r="A553" s="1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5"/>
      <c r="S553" s="1"/>
      <c r="T553" s="1"/>
      <c r="U553" s="24"/>
      <c r="V553" s="1"/>
      <c r="W553" s="5"/>
      <c r="X553" s="1"/>
      <c r="Y553" s="1"/>
    </row>
    <row r="554" spans="1:25" ht="12.75" x14ac:dyDescent="0.35">
      <c r="A554" s="1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5"/>
      <c r="S554" s="1"/>
      <c r="T554" s="1"/>
      <c r="U554" s="24"/>
      <c r="V554" s="1"/>
      <c r="W554" s="5"/>
      <c r="X554" s="1"/>
      <c r="Y554" s="1"/>
    </row>
    <row r="555" spans="1:25" ht="12.75" x14ac:dyDescent="0.35">
      <c r="A555" s="1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5"/>
      <c r="S555" s="1"/>
      <c r="T555" s="1"/>
      <c r="U555" s="24"/>
      <c r="V555" s="1"/>
      <c r="W555" s="5"/>
      <c r="X555" s="1"/>
      <c r="Y555" s="1"/>
    </row>
    <row r="556" spans="1:25" ht="12.75" x14ac:dyDescent="0.35">
      <c r="A556" s="1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5"/>
      <c r="S556" s="1"/>
      <c r="T556" s="1"/>
      <c r="U556" s="24"/>
      <c r="V556" s="1"/>
      <c r="W556" s="5"/>
      <c r="X556" s="1"/>
      <c r="Y556" s="1"/>
    </row>
    <row r="557" spans="1:25" ht="12.75" x14ac:dyDescent="0.35">
      <c r="A557" s="1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5"/>
      <c r="S557" s="1"/>
      <c r="T557" s="1"/>
      <c r="U557" s="24"/>
      <c r="V557" s="1"/>
      <c r="W557" s="5"/>
      <c r="X557" s="1"/>
      <c r="Y557" s="1"/>
    </row>
    <row r="558" spans="1:25" ht="12.75" x14ac:dyDescent="0.35">
      <c r="A558" s="1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5"/>
      <c r="S558" s="1"/>
      <c r="T558" s="1"/>
      <c r="U558" s="24"/>
      <c r="V558" s="1"/>
      <c r="W558" s="5"/>
      <c r="X558" s="1"/>
      <c r="Y558" s="1"/>
    </row>
    <row r="559" spans="1:25" ht="12.75" x14ac:dyDescent="0.35">
      <c r="A559" s="1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5"/>
      <c r="S559" s="1"/>
      <c r="T559" s="1"/>
      <c r="U559" s="24"/>
      <c r="V559" s="1"/>
      <c r="W559" s="5"/>
      <c r="X559" s="1"/>
      <c r="Y559" s="1"/>
    </row>
    <row r="560" spans="1:25" ht="12.75" x14ac:dyDescent="0.35">
      <c r="A560" s="1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5"/>
      <c r="S560" s="1"/>
      <c r="T560" s="1"/>
      <c r="U560" s="24"/>
      <c r="V560" s="1"/>
      <c r="W560" s="5"/>
      <c r="X560" s="1"/>
      <c r="Y560" s="1"/>
    </row>
    <row r="561" spans="1:25" ht="12.75" x14ac:dyDescent="0.35">
      <c r="A561" s="1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5"/>
      <c r="S561" s="1"/>
      <c r="T561" s="1"/>
      <c r="U561" s="24"/>
      <c r="V561" s="1"/>
      <c r="W561" s="5"/>
      <c r="X561" s="1"/>
      <c r="Y561" s="1"/>
    </row>
    <row r="562" spans="1:25" ht="12.75" x14ac:dyDescent="0.35">
      <c r="A562" s="1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5"/>
      <c r="S562" s="1"/>
      <c r="T562" s="1"/>
      <c r="U562" s="24"/>
      <c r="V562" s="1"/>
      <c r="W562" s="5"/>
      <c r="X562" s="1"/>
      <c r="Y562" s="1"/>
    </row>
    <row r="563" spans="1:25" ht="12.75" x14ac:dyDescent="0.35">
      <c r="A563" s="1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5"/>
      <c r="S563" s="1"/>
      <c r="T563" s="1"/>
      <c r="U563" s="24"/>
      <c r="V563" s="1"/>
      <c r="W563" s="5"/>
      <c r="X563" s="1"/>
      <c r="Y563" s="1"/>
    </row>
    <row r="564" spans="1:25" ht="12.75" x14ac:dyDescent="0.35">
      <c r="A564" s="1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5"/>
      <c r="S564" s="1"/>
      <c r="T564" s="1"/>
      <c r="U564" s="24"/>
      <c r="V564" s="1"/>
      <c r="W564" s="5"/>
      <c r="X564" s="1"/>
      <c r="Y564" s="1"/>
    </row>
    <row r="565" spans="1:25" ht="12.75" x14ac:dyDescent="0.35">
      <c r="A565" s="1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5"/>
      <c r="S565" s="1"/>
      <c r="T565" s="1"/>
      <c r="U565" s="24"/>
      <c r="V565" s="1"/>
      <c r="W565" s="5"/>
      <c r="X565" s="1"/>
      <c r="Y565" s="1"/>
    </row>
    <row r="566" spans="1:25" ht="12.75" x14ac:dyDescent="0.35">
      <c r="A566" s="1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5"/>
      <c r="S566" s="1"/>
      <c r="T566" s="1"/>
      <c r="U566" s="24"/>
      <c r="V566" s="1"/>
      <c r="W566" s="5"/>
      <c r="X566" s="1"/>
      <c r="Y566" s="1"/>
    </row>
    <row r="567" spans="1:25" ht="12.75" x14ac:dyDescent="0.35">
      <c r="A567" s="1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5"/>
      <c r="S567" s="1"/>
      <c r="T567" s="1"/>
      <c r="U567" s="24"/>
      <c r="V567" s="1"/>
      <c r="W567" s="5"/>
      <c r="X567" s="1"/>
      <c r="Y567" s="1"/>
    </row>
    <row r="568" spans="1:25" ht="12.75" x14ac:dyDescent="0.35">
      <c r="A568" s="1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5"/>
      <c r="S568" s="1"/>
      <c r="T568" s="1"/>
      <c r="U568" s="24"/>
      <c r="V568" s="1"/>
      <c r="W568" s="5"/>
      <c r="X568" s="1"/>
      <c r="Y568" s="1"/>
    </row>
    <row r="569" spans="1:25" ht="12.75" x14ac:dyDescent="0.35">
      <c r="A569" s="1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5"/>
      <c r="S569" s="1"/>
      <c r="T569" s="1"/>
      <c r="U569" s="24"/>
      <c r="V569" s="1"/>
      <c r="W569" s="5"/>
      <c r="X569" s="1"/>
      <c r="Y569" s="1"/>
    </row>
    <row r="570" spans="1:25" ht="12.75" x14ac:dyDescent="0.35">
      <c r="A570" s="1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5"/>
      <c r="S570" s="1"/>
      <c r="T570" s="1"/>
      <c r="U570" s="24"/>
      <c r="V570" s="1"/>
      <c r="W570" s="5"/>
      <c r="X570" s="1"/>
      <c r="Y570" s="1"/>
    </row>
    <row r="571" spans="1:25" ht="12.75" x14ac:dyDescent="0.35">
      <c r="A571" s="1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5"/>
      <c r="S571" s="1"/>
      <c r="T571" s="1"/>
      <c r="U571" s="24"/>
      <c r="V571" s="1"/>
      <c r="W571" s="5"/>
      <c r="X571" s="1"/>
      <c r="Y571" s="1"/>
    </row>
    <row r="572" spans="1:25" ht="12.75" x14ac:dyDescent="0.35">
      <c r="A572" s="1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5"/>
      <c r="S572" s="1"/>
      <c r="T572" s="1"/>
      <c r="U572" s="24"/>
      <c r="V572" s="1"/>
      <c r="W572" s="5"/>
      <c r="X572" s="1"/>
      <c r="Y572" s="1"/>
    </row>
    <row r="573" spans="1:25" ht="12.75" x14ac:dyDescent="0.35">
      <c r="A573" s="1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5"/>
      <c r="S573" s="1"/>
      <c r="T573" s="1"/>
      <c r="U573" s="24"/>
      <c r="V573" s="1"/>
      <c r="W573" s="5"/>
      <c r="X573" s="1"/>
      <c r="Y573" s="1"/>
    </row>
    <row r="574" spans="1:25" ht="12.75" x14ac:dyDescent="0.35">
      <c r="A574" s="1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5"/>
      <c r="S574" s="1"/>
      <c r="T574" s="1"/>
      <c r="U574" s="24"/>
      <c r="V574" s="1"/>
      <c r="W574" s="5"/>
      <c r="X574" s="1"/>
      <c r="Y574" s="1"/>
    </row>
    <row r="575" spans="1:25" ht="12.75" x14ac:dyDescent="0.35">
      <c r="A575" s="1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5"/>
      <c r="S575" s="1"/>
      <c r="T575" s="1"/>
      <c r="U575" s="24"/>
      <c r="V575" s="1"/>
      <c r="W575" s="5"/>
      <c r="X575" s="1"/>
      <c r="Y575" s="1"/>
    </row>
    <row r="576" spans="1:25" ht="12.75" x14ac:dyDescent="0.35">
      <c r="A576" s="1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5"/>
      <c r="S576" s="1"/>
      <c r="T576" s="1"/>
      <c r="U576" s="24"/>
      <c r="V576" s="1"/>
      <c r="W576" s="5"/>
      <c r="X576" s="1"/>
      <c r="Y576" s="1"/>
    </row>
    <row r="577" spans="1:25" ht="12.75" x14ac:dyDescent="0.35">
      <c r="A577" s="1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5"/>
      <c r="S577" s="1"/>
      <c r="T577" s="1"/>
      <c r="U577" s="24"/>
      <c r="V577" s="1"/>
      <c r="W577" s="5"/>
      <c r="X577" s="1"/>
      <c r="Y577" s="1"/>
    </row>
    <row r="578" spans="1:25" ht="12.75" x14ac:dyDescent="0.35">
      <c r="A578" s="1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5"/>
      <c r="S578" s="1"/>
      <c r="T578" s="1"/>
      <c r="U578" s="24"/>
      <c r="V578" s="1"/>
      <c r="W578" s="5"/>
      <c r="X578" s="1"/>
      <c r="Y578" s="1"/>
    </row>
    <row r="579" spans="1:25" ht="12.75" x14ac:dyDescent="0.35">
      <c r="A579" s="1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5"/>
      <c r="S579" s="1"/>
      <c r="T579" s="1"/>
      <c r="U579" s="24"/>
      <c r="V579" s="1"/>
      <c r="W579" s="5"/>
      <c r="X579" s="1"/>
      <c r="Y579" s="1"/>
    </row>
    <row r="580" spans="1:25" ht="12.75" x14ac:dyDescent="0.35">
      <c r="A580" s="1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5"/>
      <c r="S580" s="1"/>
      <c r="T580" s="1"/>
      <c r="U580" s="24"/>
      <c r="V580" s="1"/>
      <c r="W580" s="5"/>
      <c r="X580" s="1"/>
      <c r="Y580" s="1"/>
    </row>
    <row r="581" spans="1:25" ht="12.75" x14ac:dyDescent="0.35">
      <c r="A581" s="1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5"/>
      <c r="S581" s="1"/>
      <c r="T581" s="1"/>
      <c r="U581" s="24"/>
      <c r="V581" s="1"/>
      <c r="W581" s="5"/>
      <c r="X581" s="1"/>
      <c r="Y581" s="1"/>
    </row>
    <row r="582" spans="1:25" ht="12.75" x14ac:dyDescent="0.35">
      <c r="A582" s="1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5"/>
      <c r="S582" s="1"/>
      <c r="T582" s="1"/>
      <c r="U582" s="24"/>
      <c r="V582" s="1"/>
      <c r="W582" s="5"/>
      <c r="X582" s="1"/>
      <c r="Y582" s="1"/>
    </row>
    <row r="583" spans="1:25" ht="12.75" x14ac:dyDescent="0.35">
      <c r="A583" s="1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5"/>
      <c r="S583" s="1"/>
      <c r="T583" s="1"/>
      <c r="U583" s="24"/>
      <c r="V583" s="1"/>
      <c r="W583" s="5"/>
      <c r="X583" s="1"/>
      <c r="Y583" s="1"/>
    </row>
    <row r="584" spans="1:25" ht="12.75" x14ac:dyDescent="0.35">
      <c r="A584" s="1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5"/>
      <c r="S584" s="1"/>
      <c r="T584" s="1"/>
      <c r="U584" s="24"/>
      <c r="V584" s="1"/>
      <c r="W584" s="5"/>
      <c r="X584" s="1"/>
      <c r="Y584" s="1"/>
    </row>
    <row r="585" spans="1:25" ht="12.75" x14ac:dyDescent="0.35">
      <c r="A585" s="1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5"/>
      <c r="S585" s="1"/>
      <c r="T585" s="1"/>
      <c r="U585" s="24"/>
      <c r="V585" s="1"/>
      <c r="W585" s="5"/>
      <c r="X585" s="1"/>
      <c r="Y585" s="1"/>
    </row>
    <row r="586" spans="1:25" ht="12.75" x14ac:dyDescent="0.35">
      <c r="A586" s="1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5"/>
      <c r="S586" s="1"/>
      <c r="T586" s="1"/>
      <c r="U586" s="24"/>
      <c r="V586" s="1"/>
      <c r="W586" s="5"/>
      <c r="X586" s="1"/>
      <c r="Y586" s="1"/>
    </row>
    <row r="587" spans="1:25" ht="12.75" x14ac:dyDescent="0.35">
      <c r="A587" s="1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5"/>
      <c r="S587" s="1"/>
      <c r="T587" s="1"/>
      <c r="U587" s="24"/>
      <c r="V587" s="1"/>
      <c r="W587" s="5"/>
      <c r="X587" s="1"/>
      <c r="Y587" s="1"/>
    </row>
    <row r="588" spans="1:25" ht="12.75" x14ac:dyDescent="0.35">
      <c r="A588" s="1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5"/>
      <c r="S588" s="1"/>
      <c r="T588" s="1"/>
      <c r="U588" s="24"/>
      <c r="V588" s="1"/>
      <c r="W588" s="5"/>
      <c r="X588" s="1"/>
      <c r="Y588" s="1"/>
    </row>
    <row r="589" spans="1:25" ht="12.75" x14ac:dyDescent="0.35">
      <c r="A589" s="1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5"/>
      <c r="S589" s="1"/>
      <c r="T589" s="1"/>
      <c r="U589" s="24"/>
      <c r="V589" s="1"/>
      <c r="W589" s="5"/>
      <c r="X589" s="1"/>
      <c r="Y589" s="1"/>
    </row>
    <row r="590" spans="1:25" ht="12.75" x14ac:dyDescent="0.35">
      <c r="A590" s="1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5"/>
      <c r="S590" s="1"/>
      <c r="T590" s="1"/>
      <c r="U590" s="24"/>
      <c r="V590" s="1"/>
      <c r="W590" s="5"/>
      <c r="X590" s="1"/>
      <c r="Y590" s="1"/>
    </row>
    <row r="591" spans="1:25" ht="12.75" x14ac:dyDescent="0.35">
      <c r="A591" s="1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5"/>
      <c r="S591" s="1"/>
      <c r="T591" s="1"/>
      <c r="U591" s="24"/>
      <c r="V591" s="1"/>
      <c r="W591" s="5"/>
      <c r="X591" s="1"/>
      <c r="Y591" s="1"/>
    </row>
    <row r="592" spans="1:25" ht="12.75" x14ac:dyDescent="0.35">
      <c r="A592" s="1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5"/>
      <c r="S592" s="1"/>
      <c r="T592" s="1"/>
      <c r="U592" s="24"/>
      <c r="V592" s="1"/>
      <c r="W592" s="5"/>
      <c r="X592" s="1"/>
      <c r="Y592" s="1"/>
    </row>
    <row r="593" spans="1:25" ht="12.75" x14ac:dyDescent="0.35">
      <c r="A593" s="1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5"/>
      <c r="S593" s="1"/>
      <c r="T593" s="1"/>
      <c r="U593" s="24"/>
      <c r="V593" s="1"/>
      <c r="W593" s="5"/>
      <c r="X593" s="1"/>
      <c r="Y593" s="1"/>
    </row>
    <row r="594" spans="1:25" ht="12.75" x14ac:dyDescent="0.35">
      <c r="A594" s="1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5"/>
      <c r="S594" s="1"/>
      <c r="T594" s="1"/>
      <c r="U594" s="24"/>
      <c r="V594" s="1"/>
      <c r="W594" s="5"/>
      <c r="X594" s="1"/>
      <c r="Y594" s="1"/>
    </row>
    <row r="595" spans="1:25" ht="12.75" x14ac:dyDescent="0.35">
      <c r="A595" s="1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5"/>
      <c r="S595" s="1"/>
      <c r="T595" s="1"/>
      <c r="U595" s="24"/>
      <c r="V595" s="1"/>
      <c r="W595" s="5"/>
      <c r="X595" s="1"/>
      <c r="Y595" s="1"/>
    </row>
    <row r="596" spans="1:25" ht="12.75" x14ac:dyDescent="0.35">
      <c r="A596" s="1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5"/>
      <c r="S596" s="1"/>
      <c r="T596" s="1"/>
      <c r="U596" s="24"/>
      <c r="V596" s="1"/>
      <c r="W596" s="5"/>
      <c r="X596" s="1"/>
      <c r="Y596" s="1"/>
    </row>
    <row r="597" spans="1:25" ht="12.75" x14ac:dyDescent="0.35">
      <c r="A597" s="1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5"/>
      <c r="S597" s="1"/>
      <c r="T597" s="1"/>
      <c r="U597" s="24"/>
      <c r="V597" s="1"/>
      <c r="W597" s="5"/>
      <c r="X597" s="1"/>
      <c r="Y597" s="1"/>
    </row>
    <row r="598" spans="1:25" ht="12.75" x14ac:dyDescent="0.35">
      <c r="A598" s="1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5"/>
      <c r="S598" s="1"/>
      <c r="T598" s="1"/>
      <c r="U598" s="24"/>
      <c r="V598" s="1"/>
      <c r="W598" s="5"/>
      <c r="X598" s="1"/>
      <c r="Y598" s="1"/>
    </row>
    <row r="599" spans="1:25" ht="12.75" x14ac:dyDescent="0.35">
      <c r="A599" s="1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5"/>
      <c r="S599" s="1"/>
      <c r="T599" s="1"/>
      <c r="U599" s="24"/>
      <c r="V599" s="1"/>
      <c r="W599" s="5"/>
      <c r="X599" s="1"/>
      <c r="Y599" s="1"/>
    </row>
    <row r="600" spans="1:25" ht="12.75" x14ac:dyDescent="0.35">
      <c r="A600" s="1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5"/>
      <c r="S600" s="1"/>
      <c r="T600" s="1"/>
      <c r="U600" s="24"/>
      <c r="V600" s="1"/>
      <c r="W600" s="5"/>
      <c r="X600" s="1"/>
      <c r="Y600" s="1"/>
    </row>
    <row r="601" spans="1:25" ht="12.75" x14ac:dyDescent="0.35">
      <c r="A601" s="1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5"/>
      <c r="S601" s="1"/>
      <c r="T601" s="1"/>
      <c r="U601" s="24"/>
      <c r="V601" s="1"/>
      <c r="W601" s="5"/>
      <c r="X601" s="1"/>
      <c r="Y601" s="1"/>
    </row>
    <row r="602" spans="1:25" ht="12.75" x14ac:dyDescent="0.35">
      <c r="A602" s="1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5"/>
      <c r="S602" s="1"/>
      <c r="T602" s="1"/>
      <c r="U602" s="24"/>
      <c r="V602" s="1"/>
      <c r="W602" s="5"/>
      <c r="X602" s="1"/>
      <c r="Y602" s="1"/>
    </row>
    <row r="603" spans="1:25" ht="12.75" x14ac:dyDescent="0.35">
      <c r="A603" s="1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5"/>
      <c r="S603" s="1"/>
      <c r="T603" s="1"/>
      <c r="U603" s="24"/>
      <c r="V603" s="1"/>
      <c r="W603" s="5"/>
      <c r="X603" s="1"/>
      <c r="Y603" s="1"/>
    </row>
    <row r="604" spans="1:25" ht="12.75" x14ac:dyDescent="0.35">
      <c r="A604" s="1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5"/>
      <c r="S604" s="1"/>
      <c r="T604" s="1"/>
      <c r="U604" s="24"/>
      <c r="V604" s="1"/>
      <c r="W604" s="5"/>
      <c r="X604" s="1"/>
      <c r="Y604" s="1"/>
    </row>
    <row r="605" spans="1:25" ht="12.75" x14ac:dyDescent="0.35">
      <c r="A605" s="1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5"/>
      <c r="S605" s="1"/>
      <c r="T605" s="1"/>
      <c r="U605" s="24"/>
      <c r="V605" s="1"/>
      <c r="W605" s="5"/>
      <c r="X605" s="1"/>
      <c r="Y605" s="1"/>
    </row>
    <row r="606" spans="1:25" ht="12.75" x14ac:dyDescent="0.35">
      <c r="A606" s="1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5"/>
      <c r="S606" s="1"/>
      <c r="T606" s="1"/>
      <c r="U606" s="24"/>
      <c r="V606" s="1"/>
      <c r="W606" s="5"/>
      <c r="X606" s="1"/>
      <c r="Y606" s="1"/>
    </row>
    <row r="607" spans="1:25" ht="12.75" x14ac:dyDescent="0.35">
      <c r="A607" s="1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5"/>
      <c r="S607" s="1"/>
      <c r="T607" s="1"/>
      <c r="U607" s="24"/>
      <c r="V607" s="1"/>
      <c r="W607" s="5"/>
      <c r="X607" s="1"/>
      <c r="Y607" s="1"/>
    </row>
    <row r="608" spans="1:25" ht="12.75" x14ac:dyDescent="0.35">
      <c r="A608" s="1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5"/>
      <c r="S608" s="1"/>
      <c r="T608" s="1"/>
      <c r="U608" s="24"/>
      <c r="V608" s="1"/>
      <c r="W608" s="5"/>
      <c r="X608" s="1"/>
      <c r="Y608" s="1"/>
    </row>
    <row r="609" spans="1:25" ht="12.75" x14ac:dyDescent="0.35">
      <c r="A609" s="1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5"/>
      <c r="S609" s="1"/>
      <c r="T609" s="1"/>
      <c r="U609" s="24"/>
      <c r="V609" s="1"/>
      <c r="W609" s="5"/>
      <c r="X609" s="1"/>
      <c r="Y609" s="1"/>
    </row>
    <row r="610" spans="1:25" ht="12.75" x14ac:dyDescent="0.35">
      <c r="A610" s="1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5"/>
      <c r="S610" s="1"/>
      <c r="T610" s="1"/>
      <c r="U610" s="24"/>
      <c r="V610" s="1"/>
      <c r="W610" s="5"/>
      <c r="X610" s="1"/>
      <c r="Y610" s="1"/>
    </row>
    <row r="611" spans="1:25" ht="12.75" x14ac:dyDescent="0.35">
      <c r="A611" s="1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5"/>
      <c r="S611" s="1"/>
      <c r="T611" s="1"/>
      <c r="U611" s="24"/>
      <c r="V611" s="1"/>
      <c r="W611" s="5"/>
      <c r="X611" s="1"/>
      <c r="Y611" s="1"/>
    </row>
    <row r="612" spans="1:25" ht="12.75" x14ac:dyDescent="0.35">
      <c r="A612" s="1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5"/>
      <c r="S612" s="1"/>
      <c r="T612" s="1"/>
      <c r="U612" s="24"/>
      <c r="V612" s="1"/>
      <c r="W612" s="5"/>
      <c r="X612" s="1"/>
      <c r="Y612" s="1"/>
    </row>
    <row r="613" spans="1:25" ht="12.75" x14ac:dyDescent="0.35">
      <c r="A613" s="1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5"/>
      <c r="S613" s="1"/>
      <c r="T613" s="1"/>
      <c r="U613" s="24"/>
      <c r="V613" s="1"/>
      <c r="W613" s="5"/>
      <c r="X613" s="1"/>
      <c r="Y613" s="1"/>
    </row>
    <row r="614" spans="1:25" ht="12.75" x14ac:dyDescent="0.35">
      <c r="A614" s="1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5"/>
      <c r="S614" s="1"/>
      <c r="T614" s="1"/>
      <c r="U614" s="24"/>
      <c r="V614" s="1"/>
      <c r="W614" s="5"/>
      <c r="X614" s="1"/>
      <c r="Y614" s="1"/>
    </row>
    <row r="615" spans="1:25" ht="12.75" x14ac:dyDescent="0.35">
      <c r="A615" s="1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5"/>
      <c r="S615" s="1"/>
      <c r="T615" s="1"/>
      <c r="U615" s="24"/>
      <c r="V615" s="1"/>
      <c r="W615" s="5"/>
      <c r="X615" s="1"/>
      <c r="Y615" s="1"/>
    </row>
    <row r="616" spans="1:25" ht="12.75" x14ac:dyDescent="0.35">
      <c r="A616" s="1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5"/>
      <c r="S616" s="1"/>
      <c r="T616" s="1"/>
      <c r="U616" s="24"/>
      <c r="V616" s="1"/>
      <c r="W616" s="5"/>
      <c r="X616" s="1"/>
      <c r="Y616" s="1"/>
    </row>
    <row r="617" spans="1:25" ht="12.75" x14ac:dyDescent="0.35">
      <c r="A617" s="1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5"/>
      <c r="S617" s="1"/>
      <c r="T617" s="1"/>
      <c r="U617" s="24"/>
      <c r="V617" s="1"/>
      <c r="W617" s="5"/>
      <c r="X617" s="1"/>
      <c r="Y617" s="1"/>
    </row>
    <row r="618" spans="1:25" ht="12.75" x14ac:dyDescent="0.35">
      <c r="A618" s="1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5"/>
      <c r="S618" s="1"/>
      <c r="T618" s="1"/>
      <c r="U618" s="24"/>
      <c r="V618" s="1"/>
      <c r="W618" s="5"/>
      <c r="X618" s="1"/>
      <c r="Y618" s="1"/>
    </row>
    <row r="619" spans="1:25" ht="12.75" x14ac:dyDescent="0.35">
      <c r="A619" s="1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5"/>
      <c r="S619" s="1"/>
      <c r="T619" s="1"/>
      <c r="U619" s="24"/>
      <c r="V619" s="1"/>
      <c r="W619" s="5"/>
      <c r="X619" s="1"/>
      <c r="Y619" s="1"/>
    </row>
    <row r="620" spans="1:25" ht="12.75" x14ac:dyDescent="0.35">
      <c r="A620" s="1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5"/>
      <c r="S620" s="1"/>
      <c r="T620" s="1"/>
      <c r="U620" s="24"/>
      <c r="V620" s="1"/>
      <c r="W620" s="5"/>
      <c r="X620" s="1"/>
      <c r="Y620" s="1"/>
    </row>
    <row r="621" spans="1:25" ht="12.75" x14ac:dyDescent="0.35">
      <c r="A621" s="1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5"/>
      <c r="S621" s="1"/>
      <c r="T621" s="1"/>
      <c r="U621" s="24"/>
      <c r="V621" s="1"/>
      <c r="W621" s="5"/>
      <c r="X621" s="1"/>
      <c r="Y621" s="1"/>
    </row>
    <row r="622" spans="1:25" ht="12.75" x14ac:dyDescent="0.35">
      <c r="A622" s="1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5"/>
      <c r="S622" s="1"/>
      <c r="T622" s="1"/>
      <c r="U622" s="24"/>
      <c r="V622" s="1"/>
      <c r="W622" s="5"/>
      <c r="X622" s="1"/>
      <c r="Y622" s="1"/>
    </row>
    <row r="623" spans="1:25" ht="12.75" x14ac:dyDescent="0.35">
      <c r="A623" s="1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5"/>
      <c r="S623" s="1"/>
      <c r="T623" s="1"/>
      <c r="U623" s="24"/>
      <c r="V623" s="1"/>
      <c r="W623" s="5"/>
      <c r="X623" s="1"/>
      <c r="Y623" s="1"/>
    </row>
    <row r="624" spans="1:25" ht="12.75" x14ac:dyDescent="0.35">
      <c r="A624" s="1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5"/>
      <c r="S624" s="1"/>
      <c r="T624" s="1"/>
      <c r="U624" s="24"/>
      <c r="V624" s="1"/>
      <c r="W624" s="5"/>
      <c r="X624" s="1"/>
      <c r="Y624" s="1"/>
    </row>
    <row r="625" spans="1:25" ht="12.75" x14ac:dyDescent="0.35">
      <c r="A625" s="1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5"/>
      <c r="S625" s="1"/>
      <c r="T625" s="1"/>
      <c r="U625" s="24"/>
      <c r="V625" s="1"/>
      <c r="W625" s="5"/>
      <c r="X625" s="1"/>
      <c r="Y625" s="1"/>
    </row>
    <row r="626" spans="1:25" ht="12.75" x14ac:dyDescent="0.35">
      <c r="A626" s="1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5"/>
      <c r="S626" s="1"/>
      <c r="T626" s="1"/>
      <c r="U626" s="24"/>
      <c r="V626" s="1"/>
      <c r="W626" s="5"/>
      <c r="X626" s="1"/>
      <c r="Y626" s="1"/>
    </row>
    <row r="627" spans="1:25" ht="12.75" x14ac:dyDescent="0.35">
      <c r="A627" s="1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5"/>
      <c r="S627" s="1"/>
      <c r="T627" s="1"/>
      <c r="U627" s="24"/>
      <c r="V627" s="1"/>
      <c r="W627" s="5"/>
      <c r="X627" s="1"/>
      <c r="Y627" s="1"/>
    </row>
    <row r="628" spans="1:25" ht="12.75" x14ac:dyDescent="0.35">
      <c r="A628" s="1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5"/>
      <c r="S628" s="1"/>
      <c r="T628" s="1"/>
      <c r="U628" s="24"/>
      <c r="V628" s="1"/>
      <c r="W628" s="5"/>
      <c r="X628" s="1"/>
      <c r="Y628" s="1"/>
    </row>
    <row r="629" spans="1:25" ht="12.75" x14ac:dyDescent="0.35">
      <c r="A629" s="1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5"/>
      <c r="S629" s="1"/>
      <c r="T629" s="1"/>
      <c r="U629" s="24"/>
      <c r="V629" s="1"/>
      <c r="W629" s="5"/>
      <c r="X629" s="1"/>
      <c r="Y629" s="1"/>
    </row>
    <row r="630" spans="1:25" ht="12.75" x14ac:dyDescent="0.35">
      <c r="A630" s="1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5"/>
      <c r="S630" s="1"/>
      <c r="T630" s="1"/>
      <c r="U630" s="24"/>
      <c r="V630" s="1"/>
      <c r="W630" s="5"/>
      <c r="X630" s="1"/>
      <c r="Y630" s="1"/>
    </row>
    <row r="631" spans="1:25" ht="12.75" x14ac:dyDescent="0.35">
      <c r="A631" s="1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5"/>
      <c r="S631" s="1"/>
      <c r="T631" s="1"/>
      <c r="U631" s="24"/>
      <c r="V631" s="1"/>
      <c r="W631" s="5"/>
      <c r="X631" s="1"/>
      <c r="Y631" s="1"/>
    </row>
    <row r="632" spans="1:25" ht="12.75" x14ac:dyDescent="0.35">
      <c r="A632" s="1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5"/>
      <c r="S632" s="1"/>
      <c r="T632" s="1"/>
      <c r="U632" s="24"/>
      <c r="V632" s="1"/>
      <c r="W632" s="5"/>
      <c r="X632" s="1"/>
      <c r="Y632" s="1"/>
    </row>
    <row r="633" spans="1:25" ht="12.75" x14ac:dyDescent="0.35">
      <c r="A633" s="1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5"/>
      <c r="S633" s="1"/>
      <c r="T633" s="1"/>
      <c r="U633" s="24"/>
      <c r="V633" s="1"/>
      <c r="W633" s="5"/>
      <c r="X633" s="1"/>
      <c r="Y633" s="1"/>
    </row>
    <row r="634" spans="1:25" ht="12.75" x14ac:dyDescent="0.35">
      <c r="A634" s="1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5"/>
      <c r="S634" s="1"/>
      <c r="T634" s="1"/>
      <c r="U634" s="24"/>
      <c r="V634" s="1"/>
      <c r="W634" s="5"/>
      <c r="X634" s="1"/>
      <c r="Y634" s="1"/>
    </row>
    <row r="635" spans="1:25" ht="12.75" x14ac:dyDescent="0.35">
      <c r="A635" s="1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5"/>
      <c r="S635" s="1"/>
      <c r="T635" s="1"/>
      <c r="U635" s="24"/>
      <c r="V635" s="1"/>
      <c r="W635" s="5"/>
      <c r="X635" s="1"/>
      <c r="Y635" s="1"/>
    </row>
    <row r="636" spans="1:25" ht="12.75" x14ac:dyDescent="0.35">
      <c r="A636" s="1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5"/>
      <c r="S636" s="1"/>
      <c r="T636" s="1"/>
      <c r="U636" s="24"/>
      <c r="V636" s="1"/>
      <c r="W636" s="5"/>
      <c r="X636" s="1"/>
      <c r="Y636" s="1"/>
    </row>
    <row r="637" spans="1:25" ht="12.75" x14ac:dyDescent="0.35">
      <c r="A637" s="1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5"/>
      <c r="S637" s="1"/>
      <c r="T637" s="1"/>
      <c r="U637" s="24"/>
      <c r="V637" s="1"/>
      <c r="W637" s="5"/>
      <c r="X637" s="1"/>
      <c r="Y637" s="1"/>
    </row>
    <row r="638" spans="1:25" ht="12.75" x14ac:dyDescent="0.35">
      <c r="A638" s="1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5"/>
      <c r="S638" s="1"/>
      <c r="T638" s="1"/>
      <c r="U638" s="24"/>
      <c r="V638" s="1"/>
      <c r="W638" s="5"/>
      <c r="X638" s="1"/>
      <c r="Y638" s="1"/>
    </row>
    <row r="639" spans="1:25" ht="12.75" x14ac:dyDescent="0.35">
      <c r="A639" s="1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5"/>
      <c r="S639" s="1"/>
      <c r="T639" s="1"/>
      <c r="U639" s="24"/>
      <c r="V639" s="1"/>
      <c r="W639" s="5"/>
      <c r="X639" s="1"/>
      <c r="Y639" s="1"/>
    </row>
    <row r="640" spans="1:25" ht="12.75" x14ac:dyDescent="0.35">
      <c r="A640" s="1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5"/>
      <c r="S640" s="1"/>
      <c r="T640" s="1"/>
      <c r="U640" s="24"/>
      <c r="V640" s="1"/>
      <c r="W640" s="5"/>
      <c r="X640" s="1"/>
      <c r="Y640" s="1"/>
    </row>
    <row r="641" spans="1:25" ht="12.75" x14ac:dyDescent="0.35">
      <c r="A641" s="1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5"/>
      <c r="S641" s="1"/>
      <c r="T641" s="1"/>
      <c r="U641" s="24"/>
      <c r="V641" s="1"/>
      <c r="W641" s="5"/>
      <c r="X641" s="1"/>
      <c r="Y641" s="1"/>
    </row>
    <row r="642" spans="1:25" ht="12.75" x14ac:dyDescent="0.35">
      <c r="A642" s="1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5"/>
      <c r="S642" s="1"/>
      <c r="T642" s="1"/>
      <c r="U642" s="24"/>
      <c r="V642" s="1"/>
      <c r="W642" s="5"/>
      <c r="X642" s="1"/>
      <c r="Y642" s="1"/>
    </row>
    <row r="643" spans="1:25" ht="12.75" x14ac:dyDescent="0.35">
      <c r="A643" s="1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5"/>
      <c r="S643" s="1"/>
      <c r="T643" s="1"/>
      <c r="U643" s="24"/>
      <c r="V643" s="1"/>
      <c r="W643" s="5"/>
      <c r="X643" s="1"/>
      <c r="Y643" s="1"/>
    </row>
    <row r="644" spans="1:25" ht="12.75" x14ac:dyDescent="0.35">
      <c r="A644" s="1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5"/>
      <c r="S644" s="1"/>
      <c r="T644" s="1"/>
      <c r="U644" s="24"/>
      <c r="V644" s="1"/>
      <c r="W644" s="5"/>
      <c r="X644" s="1"/>
      <c r="Y644" s="1"/>
    </row>
    <row r="645" spans="1:25" ht="12.75" x14ac:dyDescent="0.35">
      <c r="A645" s="1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5"/>
      <c r="S645" s="1"/>
      <c r="T645" s="1"/>
      <c r="U645" s="24"/>
      <c r="V645" s="1"/>
      <c r="W645" s="5"/>
      <c r="X645" s="1"/>
      <c r="Y645" s="1"/>
    </row>
    <row r="646" spans="1:25" ht="12.75" x14ac:dyDescent="0.35">
      <c r="A646" s="1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5"/>
      <c r="S646" s="1"/>
      <c r="T646" s="1"/>
      <c r="U646" s="24"/>
      <c r="V646" s="1"/>
      <c r="W646" s="5"/>
      <c r="X646" s="1"/>
      <c r="Y646" s="1"/>
    </row>
    <row r="647" spans="1:25" ht="12.75" x14ac:dyDescent="0.35">
      <c r="A647" s="1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5"/>
      <c r="S647" s="1"/>
      <c r="T647" s="1"/>
      <c r="U647" s="24"/>
      <c r="V647" s="1"/>
      <c r="W647" s="5"/>
      <c r="X647" s="1"/>
      <c r="Y647" s="1"/>
    </row>
    <row r="648" spans="1:25" ht="12.75" x14ac:dyDescent="0.35">
      <c r="A648" s="1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5"/>
      <c r="S648" s="1"/>
      <c r="T648" s="1"/>
      <c r="U648" s="24"/>
      <c r="V648" s="1"/>
      <c r="W648" s="5"/>
      <c r="X648" s="1"/>
      <c r="Y648" s="1"/>
    </row>
    <row r="649" spans="1:25" ht="12.75" x14ac:dyDescent="0.35">
      <c r="A649" s="1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5"/>
      <c r="S649" s="1"/>
      <c r="T649" s="1"/>
      <c r="U649" s="24"/>
      <c r="V649" s="1"/>
      <c r="W649" s="5"/>
      <c r="X649" s="1"/>
      <c r="Y649" s="1"/>
    </row>
    <row r="650" spans="1:25" ht="12.75" x14ac:dyDescent="0.35">
      <c r="A650" s="1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5"/>
      <c r="S650" s="1"/>
      <c r="T650" s="1"/>
      <c r="U650" s="24"/>
      <c r="V650" s="1"/>
      <c r="W650" s="5"/>
      <c r="X650" s="1"/>
      <c r="Y650" s="1"/>
    </row>
    <row r="651" spans="1:25" ht="12.75" x14ac:dyDescent="0.35">
      <c r="A651" s="1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5"/>
      <c r="S651" s="1"/>
      <c r="T651" s="1"/>
      <c r="U651" s="24"/>
      <c r="V651" s="1"/>
      <c r="W651" s="5"/>
      <c r="X651" s="1"/>
      <c r="Y651" s="1"/>
    </row>
    <row r="652" spans="1:25" ht="12.75" x14ac:dyDescent="0.35">
      <c r="A652" s="1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5"/>
      <c r="S652" s="1"/>
      <c r="T652" s="1"/>
      <c r="U652" s="24"/>
      <c r="V652" s="1"/>
      <c r="W652" s="5"/>
      <c r="X652" s="1"/>
      <c r="Y652" s="1"/>
    </row>
    <row r="653" spans="1:25" ht="12.75" x14ac:dyDescent="0.35">
      <c r="A653" s="1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5"/>
      <c r="S653" s="1"/>
      <c r="T653" s="1"/>
      <c r="U653" s="24"/>
      <c r="V653" s="1"/>
      <c r="W653" s="5"/>
      <c r="X653" s="1"/>
      <c r="Y653" s="1"/>
    </row>
    <row r="654" spans="1:25" ht="12.75" x14ac:dyDescent="0.35">
      <c r="A654" s="1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5"/>
      <c r="S654" s="1"/>
      <c r="T654" s="1"/>
      <c r="U654" s="24"/>
      <c r="V654" s="1"/>
      <c r="W654" s="5"/>
      <c r="X654" s="1"/>
      <c r="Y654" s="1"/>
    </row>
    <row r="655" spans="1:25" ht="12.75" x14ac:dyDescent="0.35">
      <c r="A655" s="1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5"/>
      <c r="S655" s="1"/>
      <c r="T655" s="1"/>
      <c r="U655" s="24"/>
      <c r="V655" s="1"/>
      <c r="W655" s="5"/>
      <c r="X655" s="1"/>
      <c r="Y655" s="1"/>
    </row>
    <row r="656" spans="1:25" ht="12.75" x14ac:dyDescent="0.35">
      <c r="A656" s="1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5"/>
      <c r="S656" s="1"/>
      <c r="T656" s="1"/>
      <c r="U656" s="24"/>
      <c r="V656" s="1"/>
      <c r="W656" s="5"/>
      <c r="X656" s="1"/>
      <c r="Y656" s="1"/>
    </row>
    <row r="657" spans="1:25" ht="12.75" x14ac:dyDescent="0.35">
      <c r="A657" s="1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5"/>
      <c r="S657" s="1"/>
      <c r="T657" s="1"/>
      <c r="U657" s="24"/>
      <c r="V657" s="1"/>
      <c r="W657" s="5"/>
      <c r="X657" s="1"/>
      <c r="Y657" s="1"/>
    </row>
    <row r="658" spans="1:25" ht="12.75" x14ac:dyDescent="0.35">
      <c r="A658" s="1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5"/>
      <c r="S658" s="1"/>
      <c r="T658" s="1"/>
      <c r="U658" s="24"/>
      <c r="V658" s="1"/>
      <c r="W658" s="5"/>
      <c r="X658" s="1"/>
      <c r="Y658" s="1"/>
    </row>
    <row r="659" spans="1:25" ht="12.75" x14ac:dyDescent="0.35">
      <c r="A659" s="1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5"/>
      <c r="S659" s="1"/>
      <c r="T659" s="1"/>
      <c r="U659" s="24"/>
      <c r="V659" s="1"/>
      <c r="W659" s="5"/>
      <c r="X659" s="1"/>
      <c r="Y659" s="1"/>
    </row>
    <row r="660" spans="1:25" ht="12.75" x14ac:dyDescent="0.35">
      <c r="A660" s="1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5"/>
      <c r="S660" s="1"/>
      <c r="T660" s="1"/>
      <c r="U660" s="24"/>
      <c r="V660" s="1"/>
      <c r="W660" s="5"/>
      <c r="X660" s="1"/>
      <c r="Y660" s="1"/>
    </row>
    <row r="661" spans="1:25" ht="12.75" x14ac:dyDescent="0.35">
      <c r="A661" s="1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5"/>
      <c r="S661" s="1"/>
      <c r="T661" s="1"/>
      <c r="U661" s="24"/>
      <c r="V661" s="1"/>
      <c r="W661" s="5"/>
      <c r="X661" s="1"/>
      <c r="Y661" s="1"/>
    </row>
    <row r="662" spans="1:25" ht="12.75" x14ac:dyDescent="0.35">
      <c r="A662" s="1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5"/>
      <c r="S662" s="1"/>
      <c r="T662" s="1"/>
      <c r="U662" s="24"/>
      <c r="V662" s="1"/>
      <c r="W662" s="5"/>
      <c r="X662" s="1"/>
      <c r="Y662" s="1"/>
    </row>
    <row r="663" spans="1:25" ht="12.75" x14ac:dyDescent="0.35">
      <c r="A663" s="1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5"/>
      <c r="S663" s="1"/>
      <c r="T663" s="1"/>
      <c r="U663" s="24"/>
      <c r="V663" s="1"/>
      <c r="W663" s="5"/>
      <c r="X663" s="1"/>
      <c r="Y663" s="1"/>
    </row>
    <row r="664" spans="1:25" ht="12.75" x14ac:dyDescent="0.35">
      <c r="A664" s="1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5"/>
      <c r="S664" s="1"/>
      <c r="T664" s="1"/>
      <c r="U664" s="24"/>
      <c r="V664" s="1"/>
      <c r="W664" s="5"/>
      <c r="X664" s="1"/>
      <c r="Y664" s="1"/>
    </row>
    <row r="665" spans="1:25" ht="12.75" x14ac:dyDescent="0.35">
      <c r="A665" s="1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5"/>
      <c r="S665" s="1"/>
      <c r="T665" s="1"/>
      <c r="U665" s="24"/>
      <c r="V665" s="1"/>
      <c r="W665" s="5"/>
      <c r="X665" s="1"/>
      <c r="Y665" s="1"/>
    </row>
    <row r="666" spans="1:25" ht="12.75" x14ac:dyDescent="0.35">
      <c r="A666" s="1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5"/>
      <c r="S666" s="1"/>
      <c r="T666" s="1"/>
      <c r="U666" s="24"/>
      <c r="V666" s="1"/>
      <c r="W666" s="5"/>
      <c r="X666" s="1"/>
      <c r="Y666" s="1"/>
    </row>
    <row r="667" spans="1:25" ht="12.75" x14ac:dyDescent="0.35">
      <c r="A667" s="1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5"/>
      <c r="S667" s="1"/>
      <c r="T667" s="1"/>
      <c r="U667" s="24"/>
      <c r="V667" s="1"/>
      <c r="W667" s="5"/>
      <c r="X667" s="1"/>
      <c r="Y667" s="1"/>
    </row>
    <row r="668" spans="1:25" ht="12.75" x14ac:dyDescent="0.35">
      <c r="A668" s="1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5"/>
      <c r="S668" s="1"/>
      <c r="T668" s="1"/>
      <c r="U668" s="24"/>
      <c r="V668" s="1"/>
      <c r="W668" s="5"/>
      <c r="X668" s="1"/>
      <c r="Y668" s="1"/>
    </row>
    <row r="669" spans="1:25" ht="12.75" x14ac:dyDescent="0.35">
      <c r="A669" s="1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5"/>
      <c r="S669" s="1"/>
      <c r="T669" s="1"/>
      <c r="U669" s="24"/>
      <c r="V669" s="1"/>
      <c r="W669" s="5"/>
      <c r="X669" s="1"/>
      <c r="Y669" s="1"/>
    </row>
    <row r="670" spans="1:25" ht="12.75" x14ac:dyDescent="0.35">
      <c r="A670" s="1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5"/>
      <c r="S670" s="1"/>
      <c r="T670" s="1"/>
      <c r="U670" s="24"/>
      <c r="V670" s="1"/>
      <c r="W670" s="5"/>
      <c r="X670" s="1"/>
      <c r="Y670" s="1"/>
    </row>
    <row r="671" spans="1:25" ht="12.75" x14ac:dyDescent="0.35">
      <c r="A671" s="1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5"/>
      <c r="S671" s="1"/>
      <c r="T671" s="1"/>
      <c r="U671" s="24"/>
      <c r="V671" s="1"/>
      <c r="W671" s="5"/>
      <c r="X671" s="1"/>
      <c r="Y671" s="1"/>
    </row>
    <row r="672" spans="1:25" ht="12.75" x14ac:dyDescent="0.35">
      <c r="A672" s="1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5"/>
      <c r="S672" s="1"/>
      <c r="T672" s="1"/>
      <c r="U672" s="24"/>
      <c r="V672" s="1"/>
      <c r="W672" s="5"/>
      <c r="X672" s="1"/>
      <c r="Y672" s="1"/>
    </row>
    <row r="673" spans="1:25" ht="12.75" x14ac:dyDescent="0.35">
      <c r="A673" s="1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5"/>
      <c r="S673" s="1"/>
      <c r="T673" s="1"/>
      <c r="U673" s="24"/>
      <c r="V673" s="1"/>
      <c r="W673" s="5"/>
      <c r="X673" s="1"/>
      <c r="Y673" s="1"/>
    </row>
    <row r="674" spans="1:25" ht="12.75" x14ac:dyDescent="0.35">
      <c r="A674" s="1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5"/>
      <c r="S674" s="1"/>
      <c r="T674" s="1"/>
      <c r="U674" s="24"/>
      <c r="V674" s="1"/>
      <c r="W674" s="5"/>
      <c r="X674" s="1"/>
      <c r="Y674" s="1"/>
    </row>
    <row r="675" spans="1:25" ht="12.75" x14ac:dyDescent="0.35">
      <c r="A675" s="1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5"/>
      <c r="S675" s="1"/>
      <c r="T675" s="1"/>
      <c r="U675" s="24"/>
      <c r="V675" s="1"/>
      <c r="W675" s="5"/>
      <c r="X675" s="1"/>
      <c r="Y675" s="1"/>
    </row>
    <row r="676" spans="1:25" ht="12.75" x14ac:dyDescent="0.35">
      <c r="A676" s="1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5"/>
      <c r="S676" s="1"/>
      <c r="T676" s="1"/>
      <c r="U676" s="24"/>
      <c r="V676" s="1"/>
      <c r="W676" s="5"/>
      <c r="X676" s="1"/>
      <c r="Y676" s="1"/>
    </row>
    <row r="677" spans="1:25" ht="12.75" x14ac:dyDescent="0.35">
      <c r="A677" s="1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5"/>
      <c r="S677" s="1"/>
      <c r="T677" s="1"/>
      <c r="U677" s="24"/>
      <c r="V677" s="1"/>
      <c r="W677" s="5"/>
      <c r="X677" s="1"/>
      <c r="Y677" s="1"/>
    </row>
    <row r="678" spans="1:25" ht="12.75" x14ac:dyDescent="0.35">
      <c r="A678" s="1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5"/>
      <c r="S678" s="1"/>
      <c r="T678" s="1"/>
      <c r="U678" s="24"/>
      <c r="V678" s="1"/>
      <c r="W678" s="5"/>
      <c r="X678" s="1"/>
      <c r="Y678" s="1"/>
    </row>
    <row r="679" spans="1:25" ht="12.75" x14ac:dyDescent="0.35">
      <c r="A679" s="1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5"/>
      <c r="S679" s="1"/>
      <c r="T679" s="1"/>
      <c r="U679" s="24"/>
      <c r="V679" s="1"/>
      <c r="W679" s="5"/>
      <c r="X679" s="1"/>
      <c r="Y679" s="1"/>
    </row>
    <row r="680" spans="1:25" ht="12.75" x14ac:dyDescent="0.35">
      <c r="A680" s="1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5"/>
      <c r="S680" s="1"/>
      <c r="T680" s="1"/>
      <c r="U680" s="24"/>
      <c r="V680" s="1"/>
      <c r="W680" s="5"/>
      <c r="X680" s="1"/>
      <c r="Y680" s="1"/>
    </row>
    <row r="681" spans="1:25" ht="12.75" x14ac:dyDescent="0.35">
      <c r="A681" s="1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5"/>
      <c r="S681" s="1"/>
      <c r="T681" s="1"/>
      <c r="U681" s="24"/>
      <c r="V681" s="1"/>
      <c r="W681" s="5"/>
      <c r="X681" s="1"/>
      <c r="Y681" s="1"/>
    </row>
    <row r="682" spans="1:25" ht="12.75" x14ac:dyDescent="0.35">
      <c r="A682" s="1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5"/>
      <c r="S682" s="1"/>
      <c r="T682" s="1"/>
      <c r="U682" s="24"/>
      <c r="V682" s="1"/>
      <c r="W682" s="5"/>
      <c r="X682" s="1"/>
      <c r="Y682" s="1"/>
    </row>
    <row r="683" spans="1:25" ht="12.75" x14ac:dyDescent="0.35">
      <c r="A683" s="1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5"/>
      <c r="S683" s="1"/>
      <c r="T683" s="1"/>
      <c r="U683" s="24"/>
      <c r="V683" s="1"/>
      <c r="W683" s="5"/>
      <c r="X683" s="1"/>
      <c r="Y683" s="1"/>
    </row>
    <row r="684" spans="1:25" ht="12.75" x14ac:dyDescent="0.35">
      <c r="A684" s="1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5"/>
      <c r="S684" s="1"/>
      <c r="T684" s="1"/>
      <c r="U684" s="24"/>
      <c r="V684" s="1"/>
      <c r="W684" s="5"/>
      <c r="X684" s="1"/>
      <c r="Y684" s="1"/>
    </row>
    <row r="685" spans="1:25" ht="12.75" x14ac:dyDescent="0.35">
      <c r="A685" s="1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5"/>
      <c r="S685" s="1"/>
      <c r="T685" s="1"/>
      <c r="U685" s="24"/>
      <c r="V685" s="1"/>
      <c r="W685" s="5"/>
      <c r="X685" s="1"/>
      <c r="Y685" s="1"/>
    </row>
    <row r="686" spans="1:25" ht="12.75" x14ac:dyDescent="0.35">
      <c r="A686" s="1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5"/>
      <c r="S686" s="1"/>
      <c r="T686" s="1"/>
      <c r="U686" s="24"/>
      <c r="V686" s="1"/>
      <c r="W686" s="5"/>
      <c r="X686" s="1"/>
      <c r="Y686" s="1"/>
    </row>
    <row r="687" spans="1:25" ht="12.75" x14ac:dyDescent="0.35">
      <c r="A687" s="1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5"/>
      <c r="S687" s="1"/>
      <c r="T687" s="1"/>
      <c r="U687" s="24"/>
      <c r="V687" s="1"/>
      <c r="W687" s="5"/>
      <c r="X687" s="1"/>
      <c r="Y687" s="1"/>
    </row>
    <row r="688" spans="1:25" ht="12.75" x14ac:dyDescent="0.35">
      <c r="A688" s="1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5"/>
      <c r="S688" s="1"/>
      <c r="T688" s="1"/>
      <c r="U688" s="24"/>
      <c r="V688" s="1"/>
      <c r="W688" s="5"/>
      <c r="X688" s="1"/>
      <c r="Y688" s="1"/>
    </row>
    <row r="689" spans="1:25" ht="12.75" x14ac:dyDescent="0.35">
      <c r="A689" s="1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5"/>
      <c r="S689" s="1"/>
      <c r="T689" s="1"/>
      <c r="U689" s="24"/>
      <c r="V689" s="1"/>
      <c r="W689" s="5"/>
      <c r="X689" s="1"/>
      <c r="Y689" s="1"/>
    </row>
    <row r="690" spans="1:25" ht="12.75" x14ac:dyDescent="0.35">
      <c r="A690" s="1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5"/>
      <c r="S690" s="1"/>
      <c r="T690" s="1"/>
      <c r="U690" s="24"/>
      <c r="V690" s="1"/>
      <c r="W690" s="5"/>
      <c r="X690" s="1"/>
      <c r="Y690" s="1"/>
    </row>
    <row r="691" spans="1:25" ht="12.75" x14ac:dyDescent="0.35">
      <c r="A691" s="1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5"/>
      <c r="S691" s="1"/>
      <c r="T691" s="1"/>
      <c r="U691" s="24"/>
      <c r="V691" s="1"/>
      <c r="W691" s="5"/>
      <c r="X691" s="1"/>
      <c r="Y691" s="1"/>
    </row>
    <row r="692" spans="1:25" ht="12.75" x14ac:dyDescent="0.35">
      <c r="A692" s="1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5"/>
      <c r="S692" s="1"/>
      <c r="T692" s="1"/>
      <c r="U692" s="24"/>
      <c r="V692" s="1"/>
      <c r="W692" s="5"/>
      <c r="X692" s="1"/>
      <c r="Y692" s="1"/>
    </row>
    <row r="693" spans="1:25" ht="12.75" x14ac:dyDescent="0.35">
      <c r="A693" s="1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5"/>
      <c r="S693" s="1"/>
      <c r="T693" s="1"/>
      <c r="U693" s="24"/>
      <c r="V693" s="1"/>
      <c r="W693" s="5"/>
      <c r="X693" s="1"/>
      <c r="Y693" s="1"/>
    </row>
    <row r="694" spans="1:25" ht="12.75" x14ac:dyDescent="0.35">
      <c r="A694" s="1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5"/>
      <c r="S694" s="1"/>
      <c r="T694" s="1"/>
      <c r="U694" s="24"/>
      <c r="V694" s="1"/>
      <c r="W694" s="5"/>
      <c r="X694" s="1"/>
      <c r="Y694" s="1"/>
    </row>
    <row r="695" spans="1:25" ht="12.75" x14ac:dyDescent="0.35">
      <c r="A695" s="1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5"/>
      <c r="S695" s="1"/>
      <c r="T695" s="1"/>
      <c r="U695" s="24"/>
      <c r="V695" s="1"/>
      <c r="W695" s="5"/>
      <c r="X695" s="1"/>
      <c r="Y695" s="1"/>
    </row>
    <row r="696" spans="1:25" ht="12.75" x14ac:dyDescent="0.35">
      <c r="A696" s="1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5"/>
      <c r="S696" s="1"/>
      <c r="T696" s="1"/>
      <c r="U696" s="24"/>
      <c r="V696" s="1"/>
      <c r="W696" s="5"/>
      <c r="X696" s="1"/>
      <c r="Y696" s="1"/>
    </row>
    <row r="697" spans="1:25" ht="12.75" x14ac:dyDescent="0.35">
      <c r="A697" s="1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5"/>
      <c r="S697" s="1"/>
      <c r="T697" s="1"/>
      <c r="U697" s="24"/>
      <c r="V697" s="1"/>
      <c r="W697" s="5"/>
      <c r="X697" s="1"/>
      <c r="Y697" s="1"/>
    </row>
    <row r="698" spans="1:25" ht="12.75" x14ac:dyDescent="0.35">
      <c r="A698" s="1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5"/>
      <c r="S698" s="1"/>
      <c r="T698" s="1"/>
      <c r="U698" s="24"/>
      <c r="V698" s="1"/>
      <c r="W698" s="5"/>
      <c r="X698" s="1"/>
      <c r="Y698" s="1"/>
    </row>
    <row r="699" spans="1:25" ht="12.75" x14ac:dyDescent="0.35">
      <c r="A699" s="1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5"/>
      <c r="S699" s="1"/>
      <c r="T699" s="1"/>
      <c r="U699" s="24"/>
      <c r="V699" s="1"/>
      <c r="W699" s="5"/>
      <c r="X699" s="1"/>
      <c r="Y699" s="1"/>
    </row>
    <row r="700" spans="1:25" ht="12.75" x14ac:dyDescent="0.35">
      <c r="A700" s="1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5"/>
      <c r="S700" s="1"/>
      <c r="T700" s="1"/>
      <c r="U700" s="24"/>
      <c r="V700" s="1"/>
      <c r="W700" s="5"/>
      <c r="X700" s="1"/>
      <c r="Y700" s="1"/>
    </row>
    <row r="701" spans="1:25" ht="12.75" x14ac:dyDescent="0.35">
      <c r="A701" s="1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5"/>
      <c r="S701" s="1"/>
      <c r="T701" s="1"/>
      <c r="U701" s="24"/>
      <c r="V701" s="1"/>
      <c r="W701" s="5"/>
      <c r="X701" s="1"/>
      <c r="Y701" s="1"/>
    </row>
    <row r="702" spans="1:25" ht="12.75" x14ac:dyDescent="0.35">
      <c r="A702" s="1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5"/>
      <c r="S702" s="1"/>
      <c r="T702" s="1"/>
      <c r="U702" s="24"/>
      <c r="V702" s="1"/>
      <c r="W702" s="5"/>
      <c r="X702" s="1"/>
      <c r="Y702" s="1"/>
    </row>
    <row r="703" spans="1:25" ht="12.75" x14ac:dyDescent="0.35">
      <c r="A703" s="1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5"/>
      <c r="S703" s="1"/>
      <c r="T703" s="1"/>
      <c r="U703" s="24"/>
      <c r="V703" s="1"/>
      <c r="W703" s="5"/>
      <c r="X703" s="1"/>
      <c r="Y703" s="1"/>
    </row>
    <row r="704" spans="1:25" ht="12.75" x14ac:dyDescent="0.35">
      <c r="A704" s="1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5"/>
      <c r="S704" s="1"/>
      <c r="T704" s="1"/>
      <c r="U704" s="24"/>
      <c r="V704" s="1"/>
      <c r="W704" s="5"/>
      <c r="X704" s="1"/>
      <c r="Y704" s="1"/>
    </row>
    <row r="705" spans="1:25" ht="12.75" x14ac:dyDescent="0.35">
      <c r="A705" s="1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5"/>
      <c r="S705" s="1"/>
      <c r="T705" s="1"/>
      <c r="U705" s="24"/>
      <c r="V705" s="1"/>
      <c r="W705" s="5"/>
      <c r="X705" s="1"/>
      <c r="Y705" s="1"/>
    </row>
    <row r="706" spans="1:25" ht="12.75" x14ac:dyDescent="0.35">
      <c r="A706" s="1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5"/>
      <c r="S706" s="1"/>
      <c r="T706" s="1"/>
      <c r="U706" s="24"/>
      <c r="V706" s="1"/>
      <c r="W706" s="5"/>
      <c r="X706" s="1"/>
      <c r="Y706" s="1"/>
    </row>
    <row r="707" spans="1:25" ht="12.75" x14ac:dyDescent="0.35">
      <c r="A707" s="1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5"/>
      <c r="S707" s="1"/>
      <c r="T707" s="1"/>
      <c r="U707" s="24"/>
      <c r="V707" s="1"/>
      <c r="W707" s="5"/>
      <c r="X707" s="1"/>
      <c r="Y707" s="1"/>
    </row>
    <row r="708" spans="1:25" ht="12.75" x14ac:dyDescent="0.35">
      <c r="A708" s="1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5"/>
      <c r="S708" s="1"/>
      <c r="T708" s="1"/>
      <c r="U708" s="24"/>
      <c r="V708" s="1"/>
      <c r="W708" s="5"/>
      <c r="X708" s="1"/>
      <c r="Y708" s="1"/>
    </row>
    <row r="709" spans="1:25" ht="12.75" x14ac:dyDescent="0.35">
      <c r="A709" s="1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5"/>
      <c r="S709" s="1"/>
      <c r="T709" s="1"/>
      <c r="U709" s="24"/>
      <c r="V709" s="1"/>
      <c r="W709" s="5"/>
      <c r="X709" s="1"/>
      <c r="Y709" s="1"/>
    </row>
    <row r="710" spans="1:25" ht="12.75" x14ac:dyDescent="0.35">
      <c r="A710" s="1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5"/>
      <c r="S710" s="1"/>
      <c r="T710" s="1"/>
      <c r="U710" s="24"/>
      <c r="V710" s="1"/>
      <c r="W710" s="5"/>
      <c r="X710" s="1"/>
      <c r="Y710" s="1"/>
    </row>
    <row r="711" spans="1:25" ht="12.75" x14ac:dyDescent="0.35">
      <c r="A711" s="1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5"/>
      <c r="S711" s="1"/>
      <c r="T711" s="1"/>
      <c r="U711" s="24"/>
      <c r="V711" s="1"/>
      <c r="W711" s="5"/>
      <c r="X711" s="1"/>
      <c r="Y711" s="1"/>
    </row>
    <row r="712" spans="1:25" ht="12.75" x14ac:dyDescent="0.35">
      <c r="A712" s="1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5"/>
      <c r="S712" s="1"/>
      <c r="T712" s="1"/>
      <c r="U712" s="24"/>
      <c r="V712" s="1"/>
      <c r="W712" s="5"/>
      <c r="X712" s="1"/>
      <c r="Y712" s="1"/>
    </row>
    <row r="713" spans="1:25" ht="12.75" x14ac:dyDescent="0.35">
      <c r="A713" s="1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5"/>
      <c r="S713" s="1"/>
      <c r="T713" s="1"/>
      <c r="U713" s="24"/>
      <c r="V713" s="1"/>
      <c r="W713" s="5"/>
      <c r="X713" s="1"/>
      <c r="Y713" s="1"/>
    </row>
    <row r="714" spans="1:25" ht="12.75" x14ac:dyDescent="0.35">
      <c r="A714" s="1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5"/>
      <c r="S714" s="1"/>
      <c r="T714" s="1"/>
      <c r="U714" s="24"/>
      <c r="V714" s="1"/>
      <c r="W714" s="5"/>
      <c r="X714" s="1"/>
      <c r="Y714" s="1"/>
    </row>
    <row r="715" spans="1:25" ht="12.75" x14ac:dyDescent="0.35">
      <c r="A715" s="1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5"/>
      <c r="S715" s="1"/>
      <c r="T715" s="1"/>
      <c r="U715" s="24"/>
      <c r="V715" s="1"/>
      <c r="W715" s="5"/>
      <c r="X715" s="1"/>
      <c r="Y715" s="1"/>
    </row>
    <row r="716" spans="1:25" ht="12.75" x14ac:dyDescent="0.35">
      <c r="A716" s="1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5"/>
      <c r="S716" s="1"/>
      <c r="T716" s="1"/>
      <c r="U716" s="24"/>
      <c r="V716" s="1"/>
      <c r="W716" s="5"/>
      <c r="X716" s="1"/>
      <c r="Y716" s="1"/>
    </row>
    <row r="717" spans="1:25" ht="12.75" x14ac:dyDescent="0.35">
      <c r="A717" s="1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5"/>
      <c r="S717" s="1"/>
      <c r="T717" s="1"/>
      <c r="U717" s="24"/>
      <c r="V717" s="1"/>
      <c r="W717" s="5"/>
      <c r="X717" s="1"/>
      <c r="Y717" s="1"/>
    </row>
    <row r="718" spans="1:25" ht="12.75" x14ac:dyDescent="0.35">
      <c r="A718" s="1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5"/>
      <c r="S718" s="1"/>
      <c r="T718" s="1"/>
      <c r="U718" s="24"/>
      <c r="V718" s="1"/>
      <c r="W718" s="5"/>
      <c r="X718" s="1"/>
      <c r="Y718" s="1"/>
    </row>
    <row r="719" spans="1:25" ht="12.75" x14ac:dyDescent="0.35">
      <c r="A719" s="1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5"/>
      <c r="S719" s="1"/>
      <c r="T719" s="1"/>
      <c r="U719" s="24"/>
      <c r="V719" s="1"/>
      <c r="W719" s="5"/>
      <c r="X719" s="1"/>
      <c r="Y719" s="1"/>
    </row>
    <row r="720" spans="1:25" ht="12.75" x14ac:dyDescent="0.35">
      <c r="A720" s="1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5"/>
      <c r="S720" s="1"/>
      <c r="T720" s="1"/>
      <c r="U720" s="24"/>
      <c r="V720" s="1"/>
      <c r="W720" s="5"/>
      <c r="X720" s="1"/>
      <c r="Y720" s="1"/>
    </row>
    <row r="721" spans="1:25" ht="12.75" x14ac:dyDescent="0.35">
      <c r="A721" s="1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5"/>
      <c r="S721" s="1"/>
      <c r="T721" s="1"/>
      <c r="U721" s="24"/>
      <c r="V721" s="1"/>
      <c r="W721" s="5"/>
      <c r="X721" s="1"/>
      <c r="Y721" s="1"/>
    </row>
    <row r="722" spans="1:25" ht="12.75" x14ac:dyDescent="0.35">
      <c r="A722" s="1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5"/>
      <c r="S722" s="1"/>
      <c r="T722" s="1"/>
      <c r="U722" s="24"/>
      <c r="V722" s="1"/>
      <c r="W722" s="5"/>
      <c r="X722" s="1"/>
      <c r="Y722" s="1"/>
    </row>
    <row r="723" spans="1:25" ht="12.75" x14ac:dyDescent="0.35">
      <c r="A723" s="1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5"/>
      <c r="S723" s="1"/>
      <c r="T723" s="1"/>
      <c r="U723" s="24"/>
      <c r="V723" s="1"/>
      <c r="W723" s="5"/>
      <c r="X723" s="1"/>
      <c r="Y723" s="1"/>
    </row>
    <row r="724" spans="1:25" ht="12.75" x14ac:dyDescent="0.35">
      <c r="A724" s="1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5"/>
      <c r="S724" s="1"/>
      <c r="T724" s="1"/>
      <c r="U724" s="24"/>
      <c r="V724" s="1"/>
      <c r="W724" s="5"/>
      <c r="X724" s="1"/>
      <c r="Y724" s="1"/>
    </row>
    <row r="725" spans="1:25" ht="12.75" x14ac:dyDescent="0.35">
      <c r="A725" s="1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5"/>
      <c r="S725" s="1"/>
      <c r="T725" s="1"/>
      <c r="U725" s="24"/>
      <c r="V725" s="1"/>
      <c r="W725" s="5"/>
      <c r="X725" s="1"/>
      <c r="Y725" s="1"/>
    </row>
    <row r="726" spans="1:25" ht="12.75" x14ac:dyDescent="0.35">
      <c r="A726" s="1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5"/>
      <c r="S726" s="1"/>
      <c r="T726" s="1"/>
      <c r="U726" s="24"/>
      <c r="V726" s="1"/>
      <c r="W726" s="5"/>
      <c r="X726" s="1"/>
      <c r="Y726" s="1"/>
    </row>
    <row r="727" spans="1:25" ht="12.75" x14ac:dyDescent="0.35">
      <c r="A727" s="1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5"/>
      <c r="S727" s="1"/>
      <c r="T727" s="1"/>
      <c r="U727" s="24"/>
      <c r="V727" s="1"/>
      <c r="W727" s="5"/>
      <c r="X727" s="1"/>
      <c r="Y727" s="1"/>
    </row>
    <row r="728" spans="1:25" ht="12.75" x14ac:dyDescent="0.35">
      <c r="A728" s="1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5"/>
      <c r="S728" s="1"/>
      <c r="T728" s="1"/>
      <c r="U728" s="24"/>
      <c r="V728" s="1"/>
      <c r="W728" s="5"/>
      <c r="X728" s="1"/>
      <c r="Y728" s="1"/>
    </row>
    <row r="729" spans="1:25" ht="12.75" x14ac:dyDescent="0.35">
      <c r="A729" s="1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5"/>
      <c r="S729" s="1"/>
      <c r="T729" s="1"/>
      <c r="U729" s="24"/>
      <c r="V729" s="1"/>
      <c r="W729" s="5"/>
      <c r="X729" s="1"/>
      <c r="Y729" s="1"/>
    </row>
    <row r="730" spans="1:25" ht="12.75" x14ac:dyDescent="0.35">
      <c r="A730" s="1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5"/>
      <c r="S730" s="1"/>
      <c r="T730" s="1"/>
      <c r="U730" s="24"/>
      <c r="V730" s="1"/>
      <c r="W730" s="5"/>
      <c r="X730" s="1"/>
      <c r="Y730" s="1"/>
    </row>
    <row r="731" spans="1:25" ht="12.75" x14ac:dyDescent="0.35">
      <c r="A731" s="1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5"/>
      <c r="S731" s="1"/>
      <c r="T731" s="1"/>
      <c r="U731" s="24"/>
      <c r="V731" s="1"/>
      <c r="W731" s="5"/>
      <c r="X731" s="1"/>
      <c r="Y731" s="1"/>
    </row>
    <row r="732" spans="1:25" ht="12.75" x14ac:dyDescent="0.35">
      <c r="A732" s="1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5"/>
      <c r="S732" s="1"/>
      <c r="T732" s="1"/>
      <c r="U732" s="24"/>
      <c r="V732" s="1"/>
      <c r="W732" s="5"/>
      <c r="X732" s="1"/>
      <c r="Y732" s="1"/>
    </row>
    <row r="733" spans="1:25" ht="12.75" x14ac:dyDescent="0.35">
      <c r="A733" s="1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5"/>
      <c r="S733" s="1"/>
      <c r="T733" s="1"/>
      <c r="U733" s="24"/>
      <c r="V733" s="1"/>
      <c r="W733" s="5"/>
      <c r="X733" s="1"/>
      <c r="Y733" s="1"/>
    </row>
    <row r="734" spans="1:25" ht="12.75" x14ac:dyDescent="0.35">
      <c r="A734" s="1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5"/>
      <c r="S734" s="1"/>
      <c r="T734" s="1"/>
      <c r="U734" s="24"/>
      <c r="V734" s="1"/>
      <c r="W734" s="5"/>
      <c r="X734" s="1"/>
      <c r="Y734" s="1"/>
    </row>
    <row r="735" spans="1:25" ht="12.75" x14ac:dyDescent="0.35">
      <c r="A735" s="1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5"/>
      <c r="S735" s="1"/>
      <c r="T735" s="1"/>
      <c r="U735" s="24"/>
      <c r="V735" s="1"/>
      <c r="W735" s="5"/>
      <c r="X735" s="1"/>
      <c r="Y735" s="1"/>
    </row>
    <row r="736" spans="1:25" ht="12.75" x14ac:dyDescent="0.35">
      <c r="A736" s="1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5"/>
      <c r="S736" s="1"/>
      <c r="T736" s="1"/>
      <c r="U736" s="24"/>
      <c r="V736" s="1"/>
      <c r="W736" s="5"/>
      <c r="X736" s="1"/>
      <c r="Y736" s="1"/>
    </row>
    <row r="737" spans="1:25" ht="12.75" x14ac:dyDescent="0.35">
      <c r="A737" s="1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5"/>
      <c r="S737" s="1"/>
      <c r="T737" s="1"/>
      <c r="U737" s="24"/>
      <c r="V737" s="1"/>
      <c r="W737" s="5"/>
      <c r="X737" s="1"/>
      <c r="Y737" s="1"/>
    </row>
    <row r="738" spans="1:25" ht="12.75" x14ac:dyDescent="0.35">
      <c r="A738" s="1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5"/>
      <c r="S738" s="1"/>
      <c r="T738" s="1"/>
      <c r="U738" s="24"/>
      <c r="V738" s="1"/>
      <c r="W738" s="5"/>
      <c r="X738" s="1"/>
      <c r="Y738" s="1"/>
    </row>
    <row r="739" spans="1:25" ht="12.75" x14ac:dyDescent="0.35">
      <c r="A739" s="1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5"/>
      <c r="S739" s="1"/>
      <c r="T739" s="1"/>
      <c r="U739" s="24"/>
      <c r="V739" s="1"/>
      <c r="W739" s="5"/>
      <c r="X739" s="1"/>
      <c r="Y739" s="1"/>
    </row>
    <row r="740" spans="1:25" ht="12.75" x14ac:dyDescent="0.35">
      <c r="A740" s="1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5"/>
      <c r="S740" s="1"/>
      <c r="T740" s="1"/>
      <c r="U740" s="24"/>
      <c r="V740" s="1"/>
      <c r="W740" s="5"/>
      <c r="X740" s="1"/>
      <c r="Y740" s="1"/>
    </row>
    <row r="741" spans="1:25" ht="12.75" x14ac:dyDescent="0.35">
      <c r="A741" s="1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5"/>
      <c r="S741" s="1"/>
      <c r="T741" s="1"/>
      <c r="U741" s="24"/>
      <c r="V741" s="1"/>
      <c r="W741" s="5"/>
      <c r="X741" s="1"/>
      <c r="Y741" s="1"/>
    </row>
    <row r="742" spans="1:25" ht="12.75" x14ac:dyDescent="0.35">
      <c r="A742" s="1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5"/>
      <c r="S742" s="1"/>
      <c r="T742" s="1"/>
      <c r="U742" s="24"/>
      <c r="V742" s="1"/>
      <c r="W742" s="5"/>
      <c r="X742" s="1"/>
      <c r="Y742" s="1"/>
    </row>
    <row r="743" spans="1:25" ht="12.75" x14ac:dyDescent="0.35">
      <c r="A743" s="1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5"/>
      <c r="S743" s="1"/>
      <c r="T743" s="1"/>
      <c r="U743" s="24"/>
      <c r="V743" s="1"/>
      <c r="W743" s="5"/>
      <c r="X743" s="1"/>
      <c r="Y743" s="1"/>
    </row>
    <row r="744" spans="1:25" ht="12.75" x14ac:dyDescent="0.35">
      <c r="A744" s="1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5"/>
      <c r="S744" s="1"/>
      <c r="T744" s="1"/>
      <c r="U744" s="24"/>
      <c r="V744" s="1"/>
      <c r="W744" s="5"/>
      <c r="X744" s="1"/>
      <c r="Y744" s="1"/>
    </row>
    <row r="745" spans="1:25" ht="12.75" x14ac:dyDescent="0.35">
      <c r="A745" s="1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5"/>
      <c r="S745" s="1"/>
      <c r="T745" s="1"/>
      <c r="U745" s="24"/>
      <c r="V745" s="1"/>
      <c r="W745" s="5"/>
      <c r="X745" s="1"/>
      <c r="Y745" s="1"/>
    </row>
    <row r="746" spans="1:25" ht="12.75" x14ac:dyDescent="0.35">
      <c r="A746" s="1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5"/>
      <c r="S746" s="1"/>
      <c r="T746" s="1"/>
      <c r="U746" s="24"/>
      <c r="V746" s="1"/>
      <c r="W746" s="5"/>
      <c r="X746" s="1"/>
      <c r="Y746" s="1"/>
    </row>
    <row r="747" spans="1:25" ht="12.75" x14ac:dyDescent="0.35">
      <c r="A747" s="1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5"/>
      <c r="S747" s="1"/>
      <c r="T747" s="1"/>
      <c r="U747" s="24"/>
      <c r="V747" s="1"/>
      <c r="W747" s="5"/>
      <c r="X747" s="1"/>
      <c r="Y747" s="1"/>
    </row>
    <row r="748" spans="1:25" ht="12.75" x14ac:dyDescent="0.35">
      <c r="A748" s="1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5"/>
      <c r="S748" s="1"/>
      <c r="T748" s="1"/>
      <c r="U748" s="24"/>
      <c r="V748" s="1"/>
      <c r="W748" s="5"/>
      <c r="X748" s="1"/>
      <c r="Y748" s="1"/>
    </row>
    <row r="749" spans="1:25" ht="12.75" x14ac:dyDescent="0.35">
      <c r="A749" s="1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5"/>
      <c r="S749" s="1"/>
      <c r="T749" s="1"/>
      <c r="U749" s="24"/>
      <c r="V749" s="1"/>
      <c r="W749" s="5"/>
      <c r="X749" s="1"/>
      <c r="Y749" s="1"/>
    </row>
    <row r="750" spans="1:25" ht="12.75" x14ac:dyDescent="0.35">
      <c r="A750" s="1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5"/>
      <c r="S750" s="1"/>
      <c r="T750" s="1"/>
      <c r="U750" s="24"/>
      <c r="V750" s="1"/>
      <c r="W750" s="5"/>
      <c r="X750" s="1"/>
      <c r="Y750" s="1"/>
    </row>
    <row r="751" spans="1:25" ht="12.75" x14ac:dyDescent="0.35">
      <c r="A751" s="1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5"/>
      <c r="S751" s="1"/>
      <c r="T751" s="1"/>
      <c r="U751" s="24"/>
      <c r="V751" s="1"/>
      <c r="W751" s="5"/>
      <c r="X751" s="1"/>
      <c r="Y751" s="1"/>
    </row>
    <row r="752" spans="1:25" ht="12.75" x14ac:dyDescent="0.35">
      <c r="A752" s="1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5"/>
      <c r="S752" s="1"/>
      <c r="T752" s="1"/>
      <c r="U752" s="24"/>
      <c r="V752" s="1"/>
      <c r="W752" s="5"/>
      <c r="X752" s="1"/>
      <c r="Y752" s="1"/>
    </row>
    <row r="753" spans="1:25" ht="12.75" x14ac:dyDescent="0.35">
      <c r="A753" s="1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5"/>
      <c r="S753" s="1"/>
      <c r="T753" s="1"/>
      <c r="U753" s="24"/>
      <c r="V753" s="1"/>
      <c r="W753" s="5"/>
      <c r="X753" s="1"/>
      <c r="Y753" s="1"/>
    </row>
    <row r="754" spans="1:25" ht="12.75" x14ac:dyDescent="0.35">
      <c r="A754" s="1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5"/>
      <c r="S754" s="1"/>
      <c r="T754" s="1"/>
      <c r="U754" s="24"/>
      <c r="V754" s="1"/>
      <c r="W754" s="5"/>
      <c r="X754" s="1"/>
      <c r="Y754" s="1"/>
    </row>
    <row r="755" spans="1:25" ht="12.75" x14ac:dyDescent="0.35">
      <c r="A755" s="1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5"/>
      <c r="S755" s="1"/>
      <c r="T755" s="1"/>
      <c r="U755" s="24"/>
      <c r="V755" s="1"/>
      <c r="W755" s="5"/>
      <c r="X755" s="1"/>
      <c r="Y755" s="1"/>
    </row>
    <row r="756" spans="1:25" ht="12.75" x14ac:dyDescent="0.35">
      <c r="A756" s="1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5"/>
      <c r="S756" s="1"/>
      <c r="T756" s="1"/>
      <c r="U756" s="24"/>
      <c r="V756" s="1"/>
      <c r="W756" s="5"/>
      <c r="X756" s="1"/>
      <c r="Y756" s="1"/>
    </row>
    <row r="757" spans="1:25" ht="12.75" x14ac:dyDescent="0.35">
      <c r="A757" s="1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5"/>
      <c r="S757" s="1"/>
      <c r="T757" s="1"/>
      <c r="U757" s="24"/>
      <c r="V757" s="1"/>
      <c r="W757" s="5"/>
      <c r="X757" s="1"/>
      <c r="Y757" s="1"/>
    </row>
    <row r="758" spans="1:25" ht="12.75" x14ac:dyDescent="0.35">
      <c r="A758" s="1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5"/>
      <c r="S758" s="1"/>
      <c r="T758" s="1"/>
      <c r="U758" s="24"/>
      <c r="V758" s="1"/>
      <c r="W758" s="5"/>
      <c r="X758" s="1"/>
      <c r="Y758" s="1"/>
    </row>
    <row r="759" spans="1:25" ht="12.75" x14ac:dyDescent="0.35">
      <c r="A759" s="1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5"/>
      <c r="S759" s="1"/>
      <c r="T759" s="1"/>
      <c r="U759" s="24"/>
      <c r="V759" s="1"/>
      <c r="W759" s="5"/>
      <c r="X759" s="1"/>
      <c r="Y759" s="1"/>
    </row>
    <row r="760" spans="1:25" ht="12.75" x14ac:dyDescent="0.35">
      <c r="A760" s="1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5"/>
      <c r="S760" s="1"/>
      <c r="T760" s="1"/>
      <c r="U760" s="24"/>
      <c r="V760" s="1"/>
      <c r="W760" s="5"/>
      <c r="X760" s="1"/>
      <c r="Y760" s="1"/>
    </row>
    <row r="761" spans="1:25" ht="12.75" x14ac:dyDescent="0.35">
      <c r="A761" s="1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5"/>
      <c r="S761" s="1"/>
      <c r="T761" s="1"/>
      <c r="U761" s="24"/>
      <c r="V761" s="1"/>
      <c r="W761" s="5"/>
      <c r="X761" s="1"/>
      <c r="Y761" s="1"/>
    </row>
    <row r="762" spans="1:25" ht="12.75" x14ac:dyDescent="0.35">
      <c r="A762" s="1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5"/>
      <c r="S762" s="1"/>
      <c r="T762" s="1"/>
      <c r="U762" s="24"/>
      <c r="V762" s="1"/>
      <c r="W762" s="5"/>
      <c r="X762" s="1"/>
      <c r="Y762" s="1"/>
    </row>
    <row r="763" spans="1:25" ht="12.75" x14ac:dyDescent="0.35">
      <c r="A763" s="1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5"/>
      <c r="S763" s="1"/>
      <c r="T763" s="1"/>
      <c r="U763" s="24"/>
      <c r="V763" s="1"/>
      <c r="W763" s="5"/>
      <c r="X763" s="1"/>
      <c r="Y763" s="1"/>
    </row>
    <row r="764" spans="1:25" ht="12.75" x14ac:dyDescent="0.35">
      <c r="A764" s="1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5"/>
      <c r="S764" s="1"/>
      <c r="T764" s="1"/>
      <c r="U764" s="24"/>
      <c r="V764" s="1"/>
      <c r="W764" s="5"/>
      <c r="X764" s="1"/>
      <c r="Y764" s="1"/>
    </row>
    <row r="765" spans="1:25" ht="12.75" x14ac:dyDescent="0.35">
      <c r="A765" s="1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5"/>
      <c r="S765" s="1"/>
      <c r="T765" s="1"/>
      <c r="U765" s="24"/>
      <c r="V765" s="1"/>
      <c r="W765" s="5"/>
      <c r="X765" s="1"/>
      <c r="Y765" s="1"/>
    </row>
    <row r="766" spans="1:25" ht="12.75" x14ac:dyDescent="0.35">
      <c r="A766" s="1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5"/>
      <c r="S766" s="1"/>
      <c r="T766" s="1"/>
      <c r="U766" s="24"/>
      <c r="V766" s="1"/>
      <c r="W766" s="5"/>
      <c r="X766" s="1"/>
      <c r="Y766" s="1"/>
    </row>
    <row r="767" spans="1:25" ht="12.75" x14ac:dyDescent="0.35">
      <c r="A767" s="1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5"/>
      <c r="S767" s="1"/>
      <c r="T767" s="1"/>
      <c r="U767" s="24"/>
      <c r="V767" s="1"/>
      <c r="W767" s="5"/>
      <c r="X767" s="1"/>
      <c r="Y767" s="1"/>
    </row>
    <row r="768" spans="1:25" ht="12.75" x14ac:dyDescent="0.35">
      <c r="A768" s="1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5"/>
      <c r="S768" s="1"/>
      <c r="T768" s="1"/>
      <c r="U768" s="24"/>
      <c r="V768" s="1"/>
      <c r="W768" s="5"/>
      <c r="X768" s="1"/>
      <c r="Y768" s="1"/>
    </row>
    <row r="769" spans="1:25" ht="12.75" x14ac:dyDescent="0.35">
      <c r="A769" s="1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5"/>
      <c r="S769" s="1"/>
      <c r="T769" s="1"/>
      <c r="U769" s="24"/>
      <c r="V769" s="1"/>
      <c r="W769" s="5"/>
      <c r="X769" s="1"/>
      <c r="Y769" s="1"/>
    </row>
    <row r="770" spans="1:25" ht="12.75" x14ac:dyDescent="0.35">
      <c r="A770" s="1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5"/>
      <c r="S770" s="1"/>
      <c r="T770" s="1"/>
      <c r="U770" s="24"/>
      <c r="V770" s="1"/>
      <c r="W770" s="5"/>
      <c r="X770" s="1"/>
      <c r="Y770" s="1"/>
    </row>
    <row r="771" spans="1:25" ht="12.75" x14ac:dyDescent="0.35">
      <c r="A771" s="1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5"/>
      <c r="S771" s="1"/>
      <c r="T771" s="1"/>
      <c r="U771" s="24"/>
      <c r="V771" s="1"/>
      <c r="W771" s="5"/>
      <c r="X771" s="1"/>
      <c r="Y771" s="1"/>
    </row>
    <row r="772" spans="1:25" ht="12.75" x14ac:dyDescent="0.35">
      <c r="A772" s="1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5"/>
      <c r="S772" s="1"/>
      <c r="T772" s="1"/>
      <c r="U772" s="24"/>
      <c r="V772" s="1"/>
      <c r="W772" s="5"/>
      <c r="X772" s="1"/>
      <c r="Y772" s="1"/>
    </row>
    <row r="773" spans="1:25" ht="12.75" x14ac:dyDescent="0.35">
      <c r="A773" s="1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5"/>
      <c r="S773" s="1"/>
      <c r="T773" s="1"/>
      <c r="U773" s="24"/>
      <c r="V773" s="1"/>
      <c r="W773" s="5"/>
      <c r="X773" s="1"/>
      <c r="Y773" s="1"/>
    </row>
    <row r="774" spans="1:25" ht="12.75" x14ac:dyDescent="0.35">
      <c r="A774" s="1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5"/>
      <c r="S774" s="1"/>
      <c r="T774" s="1"/>
      <c r="U774" s="24"/>
      <c r="V774" s="1"/>
      <c r="W774" s="5"/>
      <c r="X774" s="1"/>
      <c r="Y774" s="1"/>
    </row>
    <row r="775" spans="1:25" ht="12.75" x14ac:dyDescent="0.35">
      <c r="A775" s="1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5"/>
      <c r="S775" s="1"/>
      <c r="T775" s="1"/>
      <c r="U775" s="24"/>
      <c r="V775" s="1"/>
      <c r="W775" s="5"/>
      <c r="X775" s="1"/>
      <c r="Y775" s="1"/>
    </row>
    <row r="776" spans="1:25" ht="12.75" x14ac:dyDescent="0.35">
      <c r="A776" s="1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5"/>
      <c r="S776" s="1"/>
      <c r="T776" s="1"/>
      <c r="U776" s="24"/>
      <c r="V776" s="1"/>
      <c r="W776" s="5"/>
      <c r="X776" s="1"/>
      <c r="Y776" s="1"/>
    </row>
    <row r="777" spans="1:25" ht="12.75" x14ac:dyDescent="0.35">
      <c r="A777" s="1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5"/>
      <c r="S777" s="1"/>
      <c r="T777" s="1"/>
      <c r="U777" s="24"/>
      <c r="V777" s="1"/>
      <c r="W777" s="5"/>
      <c r="X777" s="1"/>
      <c r="Y777" s="1"/>
    </row>
    <row r="778" spans="1:25" ht="12.75" x14ac:dyDescent="0.35">
      <c r="A778" s="1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5"/>
      <c r="S778" s="1"/>
      <c r="T778" s="1"/>
      <c r="U778" s="24"/>
      <c r="V778" s="1"/>
      <c r="W778" s="5"/>
      <c r="X778" s="1"/>
      <c r="Y778" s="1"/>
    </row>
    <row r="779" spans="1:25" ht="12.75" x14ac:dyDescent="0.35">
      <c r="A779" s="1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5"/>
      <c r="S779" s="1"/>
      <c r="T779" s="1"/>
      <c r="U779" s="24"/>
      <c r="V779" s="1"/>
      <c r="W779" s="5"/>
      <c r="X779" s="1"/>
      <c r="Y779" s="1"/>
    </row>
    <row r="780" spans="1:25" ht="12.75" x14ac:dyDescent="0.35">
      <c r="A780" s="1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5"/>
      <c r="S780" s="1"/>
      <c r="T780" s="1"/>
      <c r="U780" s="24"/>
      <c r="V780" s="1"/>
      <c r="W780" s="5"/>
      <c r="X780" s="1"/>
      <c r="Y780" s="1"/>
    </row>
    <row r="781" spans="1:25" ht="12.75" x14ac:dyDescent="0.35">
      <c r="A781" s="1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5"/>
      <c r="S781" s="1"/>
      <c r="T781" s="1"/>
      <c r="U781" s="24"/>
      <c r="V781" s="1"/>
      <c r="W781" s="5"/>
      <c r="X781" s="1"/>
      <c r="Y781" s="1"/>
    </row>
    <row r="782" spans="1:25" ht="12.75" x14ac:dyDescent="0.35">
      <c r="A782" s="1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5"/>
      <c r="S782" s="1"/>
      <c r="T782" s="1"/>
      <c r="U782" s="24"/>
      <c r="V782" s="1"/>
      <c r="W782" s="5"/>
      <c r="X782" s="1"/>
      <c r="Y782" s="1"/>
    </row>
    <row r="783" spans="1:25" ht="12.75" x14ac:dyDescent="0.35">
      <c r="A783" s="1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5"/>
      <c r="S783" s="1"/>
      <c r="T783" s="1"/>
      <c r="U783" s="24"/>
      <c r="V783" s="1"/>
      <c r="W783" s="5"/>
      <c r="X783" s="1"/>
      <c r="Y783" s="1"/>
    </row>
    <row r="784" spans="1:25" ht="12.75" x14ac:dyDescent="0.35">
      <c r="A784" s="1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5"/>
      <c r="S784" s="1"/>
      <c r="T784" s="1"/>
      <c r="U784" s="24"/>
      <c r="V784" s="1"/>
      <c r="W784" s="5"/>
      <c r="X784" s="1"/>
      <c r="Y784" s="1"/>
    </row>
    <row r="785" spans="1:25" ht="12.75" x14ac:dyDescent="0.35">
      <c r="A785" s="1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5"/>
      <c r="S785" s="1"/>
      <c r="T785" s="1"/>
      <c r="U785" s="24"/>
      <c r="V785" s="1"/>
      <c r="W785" s="5"/>
      <c r="X785" s="1"/>
      <c r="Y785" s="1"/>
    </row>
    <row r="786" spans="1:25" ht="12.75" x14ac:dyDescent="0.35">
      <c r="A786" s="1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5"/>
      <c r="S786" s="1"/>
      <c r="T786" s="1"/>
      <c r="U786" s="24"/>
      <c r="V786" s="1"/>
      <c r="W786" s="5"/>
      <c r="X786" s="1"/>
      <c r="Y786" s="1"/>
    </row>
    <row r="787" spans="1:25" ht="12.75" x14ac:dyDescent="0.35">
      <c r="A787" s="1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5"/>
      <c r="S787" s="1"/>
      <c r="T787" s="1"/>
      <c r="U787" s="24"/>
      <c r="V787" s="1"/>
      <c r="W787" s="5"/>
      <c r="X787" s="1"/>
      <c r="Y787" s="1"/>
    </row>
    <row r="788" spans="1:25" ht="12.75" x14ac:dyDescent="0.35">
      <c r="A788" s="1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5"/>
      <c r="S788" s="1"/>
      <c r="T788" s="1"/>
      <c r="U788" s="24"/>
      <c r="V788" s="1"/>
      <c r="W788" s="5"/>
      <c r="X788" s="1"/>
      <c r="Y788" s="1"/>
    </row>
    <row r="789" spans="1:25" ht="12.75" x14ac:dyDescent="0.35">
      <c r="A789" s="1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5"/>
      <c r="S789" s="1"/>
      <c r="T789" s="1"/>
      <c r="U789" s="24"/>
      <c r="V789" s="1"/>
      <c r="W789" s="5"/>
      <c r="X789" s="1"/>
      <c r="Y789" s="1"/>
    </row>
    <row r="790" spans="1:25" ht="12.75" x14ac:dyDescent="0.35">
      <c r="A790" s="1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5"/>
      <c r="S790" s="1"/>
      <c r="T790" s="1"/>
      <c r="U790" s="24"/>
      <c r="V790" s="1"/>
      <c r="W790" s="5"/>
      <c r="X790" s="1"/>
      <c r="Y790" s="1"/>
    </row>
    <row r="791" spans="1:25" ht="12.75" x14ac:dyDescent="0.35">
      <c r="A791" s="1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5"/>
      <c r="S791" s="1"/>
      <c r="T791" s="1"/>
      <c r="U791" s="24"/>
      <c r="V791" s="1"/>
      <c r="W791" s="5"/>
      <c r="X791" s="1"/>
      <c r="Y791" s="1"/>
    </row>
    <row r="792" spans="1:25" ht="12.75" x14ac:dyDescent="0.35">
      <c r="A792" s="1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5"/>
      <c r="S792" s="1"/>
      <c r="T792" s="1"/>
      <c r="U792" s="24"/>
      <c r="V792" s="1"/>
      <c r="W792" s="5"/>
      <c r="X792" s="1"/>
      <c r="Y792" s="1"/>
    </row>
    <row r="793" spans="1:25" ht="12.75" x14ac:dyDescent="0.35">
      <c r="A793" s="1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5"/>
      <c r="S793" s="1"/>
      <c r="T793" s="1"/>
      <c r="U793" s="24"/>
      <c r="V793" s="1"/>
      <c r="W793" s="5"/>
      <c r="X793" s="1"/>
      <c r="Y793" s="1"/>
    </row>
    <row r="794" spans="1:25" ht="12.75" x14ac:dyDescent="0.35">
      <c r="A794" s="1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5"/>
      <c r="S794" s="1"/>
      <c r="T794" s="1"/>
      <c r="U794" s="24"/>
      <c r="V794" s="1"/>
      <c r="W794" s="5"/>
      <c r="X794" s="1"/>
      <c r="Y794" s="1"/>
    </row>
    <row r="795" spans="1:25" ht="12.75" x14ac:dyDescent="0.35">
      <c r="A795" s="1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5"/>
      <c r="S795" s="1"/>
      <c r="T795" s="1"/>
      <c r="U795" s="24"/>
      <c r="V795" s="1"/>
      <c r="W795" s="5"/>
      <c r="X795" s="1"/>
      <c r="Y795" s="1"/>
    </row>
    <row r="796" spans="1:25" ht="12.75" x14ac:dyDescent="0.35">
      <c r="A796" s="1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5"/>
      <c r="S796" s="1"/>
      <c r="T796" s="1"/>
      <c r="U796" s="24"/>
      <c r="V796" s="1"/>
      <c r="W796" s="5"/>
      <c r="X796" s="1"/>
      <c r="Y796" s="1"/>
    </row>
    <row r="797" spans="1:25" ht="12.75" x14ac:dyDescent="0.35">
      <c r="A797" s="1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5"/>
      <c r="S797" s="1"/>
      <c r="T797" s="1"/>
      <c r="U797" s="24"/>
      <c r="V797" s="1"/>
      <c r="W797" s="5"/>
      <c r="X797" s="1"/>
      <c r="Y797" s="1"/>
    </row>
    <row r="798" spans="1:25" ht="12.75" x14ac:dyDescent="0.35">
      <c r="A798" s="1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5"/>
      <c r="S798" s="1"/>
      <c r="T798" s="1"/>
      <c r="U798" s="24"/>
      <c r="V798" s="1"/>
      <c r="W798" s="5"/>
      <c r="X798" s="1"/>
      <c r="Y798" s="1"/>
    </row>
    <row r="799" spans="1:25" ht="12.75" x14ac:dyDescent="0.35">
      <c r="A799" s="1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5"/>
      <c r="S799" s="1"/>
      <c r="T799" s="1"/>
      <c r="U799" s="24"/>
      <c r="V799" s="1"/>
      <c r="W799" s="5"/>
      <c r="X799" s="1"/>
      <c r="Y799" s="1"/>
    </row>
    <row r="800" spans="1:25" ht="12.75" x14ac:dyDescent="0.35">
      <c r="A800" s="1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5"/>
      <c r="S800" s="1"/>
      <c r="T800" s="1"/>
      <c r="U800" s="24"/>
      <c r="V800" s="1"/>
      <c r="W800" s="5"/>
      <c r="X800" s="1"/>
      <c r="Y800" s="1"/>
    </row>
    <row r="801" spans="1:25" ht="12.75" x14ac:dyDescent="0.35">
      <c r="A801" s="1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5"/>
      <c r="S801" s="1"/>
      <c r="T801" s="1"/>
      <c r="U801" s="24"/>
      <c r="V801" s="1"/>
      <c r="W801" s="5"/>
      <c r="X801" s="1"/>
      <c r="Y801" s="1"/>
    </row>
    <row r="802" spans="1:25" ht="12.75" x14ac:dyDescent="0.35">
      <c r="A802" s="1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5"/>
      <c r="S802" s="1"/>
      <c r="T802" s="1"/>
      <c r="U802" s="24"/>
      <c r="V802" s="1"/>
      <c r="W802" s="5"/>
      <c r="X802" s="1"/>
      <c r="Y802" s="1"/>
    </row>
    <row r="803" spans="1:25" ht="12.75" x14ac:dyDescent="0.35">
      <c r="A803" s="1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5"/>
      <c r="S803" s="1"/>
      <c r="T803" s="1"/>
      <c r="U803" s="24"/>
      <c r="V803" s="1"/>
      <c r="W803" s="5"/>
      <c r="X803" s="1"/>
      <c r="Y803" s="1"/>
    </row>
    <row r="804" spans="1:25" ht="12.75" x14ac:dyDescent="0.35">
      <c r="A804" s="1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5"/>
      <c r="S804" s="1"/>
      <c r="T804" s="1"/>
      <c r="U804" s="24"/>
      <c r="V804" s="1"/>
      <c r="W804" s="5"/>
      <c r="X804" s="1"/>
      <c r="Y804" s="1"/>
    </row>
    <row r="805" spans="1:25" ht="12.75" x14ac:dyDescent="0.35">
      <c r="A805" s="1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5"/>
      <c r="S805" s="1"/>
      <c r="T805" s="1"/>
      <c r="U805" s="24"/>
      <c r="V805" s="1"/>
      <c r="W805" s="5"/>
      <c r="X805" s="1"/>
      <c r="Y805" s="1"/>
    </row>
    <row r="806" spans="1:25" ht="12.75" x14ac:dyDescent="0.35">
      <c r="A806" s="1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5"/>
      <c r="S806" s="1"/>
      <c r="T806" s="1"/>
      <c r="U806" s="24"/>
      <c r="V806" s="1"/>
      <c r="W806" s="5"/>
      <c r="X806" s="1"/>
      <c r="Y806" s="1"/>
    </row>
    <row r="807" spans="1:25" ht="12.75" x14ac:dyDescent="0.35">
      <c r="A807" s="1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5"/>
      <c r="S807" s="1"/>
      <c r="T807" s="1"/>
      <c r="U807" s="24"/>
      <c r="V807" s="1"/>
      <c r="W807" s="5"/>
      <c r="X807" s="1"/>
      <c r="Y807" s="1"/>
    </row>
    <row r="808" spans="1:25" ht="12.75" x14ac:dyDescent="0.35">
      <c r="A808" s="1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5"/>
      <c r="S808" s="1"/>
      <c r="T808" s="1"/>
      <c r="U808" s="24"/>
      <c r="V808" s="1"/>
      <c r="W808" s="5"/>
      <c r="X808" s="1"/>
      <c r="Y808" s="1"/>
    </row>
    <row r="809" spans="1:25" ht="12.75" x14ac:dyDescent="0.35">
      <c r="A809" s="1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5"/>
      <c r="S809" s="1"/>
      <c r="T809" s="1"/>
      <c r="U809" s="24"/>
      <c r="V809" s="1"/>
      <c r="W809" s="5"/>
      <c r="X809" s="1"/>
      <c r="Y809" s="1"/>
    </row>
    <row r="810" spans="1:25" ht="12.75" x14ac:dyDescent="0.35">
      <c r="A810" s="1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5"/>
      <c r="S810" s="1"/>
      <c r="T810" s="1"/>
      <c r="U810" s="24"/>
      <c r="V810" s="1"/>
      <c r="W810" s="5"/>
      <c r="X810" s="1"/>
      <c r="Y810" s="1"/>
    </row>
    <row r="811" spans="1:25" ht="12.75" x14ac:dyDescent="0.35">
      <c r="A811" s="1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5"/>
      <c r="S811" s="1"/>
      <c r="T811" s="1"/>
      <c r="U811" s="24"/>
      <c r="V811" s="1"/>
      <c r="W811" s="5"/>
      <c r="X811" s="1"/>
      <c r="Y811" s="1"/>
    </row>
    <row r="812" spans="1:25" ht="12.75" x14ac:dyDescent="0.35">
      <c r="A812" s="1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5"/>
      <c r="S812" s="1"/>
      <c r="T812" s="1"/>
      <c r="U812" s="24"/>
      <c r="V812" s="1"/>
      <c r="W812" s="5"/>
      <c r="X812" s="1"/>
      <c r="Y812" s="1"/>
    </row>
    <row r="813" spans="1:25" ht="12.75" x14ac:dyDescent="0.35">
      <c r="A813" s="1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5"/>
      <c r="S813" s="1"/>
      <c r="T813" s="1"/>
      <c r="U813" s="24"/>
      <c r="V813" s="1"/>
      <c r="W813" s="5"/>
      <c r="X813" s="1"/>
      <c r="Y813" s="1"/>
    </row>
    <row r="814" spans="1:25" ht="12.75" x14ac:dyDescent="0.35">
      <c r="A814" s="1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5"/>
      <c r="S814" s="1"/>
      <c r="T814" s="1"/>
      <c r="U814" s="24"/>
      <c r="V814" s="1"/>
      <c r="W814" s="5"/>
      <c r="X814" s="1"/>
      <c r="Y814" s="1"/>
    </row>
    <row r="815" spans="1:25" ht="12.75" x14ac:dyDescent="0.35">
      <c r="A815" s="1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5"/>
      <c r="S815" s="1"/>
      <c r="T815" s="1"/>
      <c r="U815" s="24"/>
      <c r="V815" s="1"/>
      <c r="W815" s="5"/>
      <c r="X815" s="1"/>
      <c r="Y815" s="1"/>
    </row>
    <row r="816" spans="1:25" ht="12.75" x14ac:dyDescent="0.35">
      <c r="A816" s="1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5"/>
      <c r="S816" s="1"/>
      <c r="T816" s="1"/>
      <c r="U816" s="24"/>
      <c r="V816" s="1"/>
      <c r="W816" s="5"/>
      <c r="X816" s="1"/>
      <c r="Y816" s="1"/>
    </row>
    <row r="817" spans="1:25" ht="12.75" x14ac:dyDescent="0.35">
      <c r="A817" s="1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5"/>
      <c r="S817" s="1"/>
      <c r="T817" s="1"/>
      <c r="U817" s="24"/>
      <c r="V817" s="1"/>
      <c r="W817" s="5"/>
      <c r="X817" s="1"/>
      <c r="Y817" s="1"/>
    </row>
    <row r="818" spans="1:25" ht="12.75" x14ac:dyDescent="0.35">
      <c r="A818" s="1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5"/>
      <c r="S818" s="1"/>
      <c r="T818" s="1"/>
      <c r="U818" s="24"/>
      <c r="V818" s="1"/>
      <c r="W818" s="5"/>
      <c r="X818" s="1"/>
      <c r="Y818" s="1"/>
    </row>
    <row r="819" spans="1:25" ht="12.75" x14ac:dyDescent="0.35">
      <c r="A819" s="1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5"/>
      <c r="S819" s="1"/>
      <c r="T819" s="1"/>
      <c r="U819" s="24"/>
      <c r="V819" s="1"/>
      <c r="W819" s="5"/>
      <c r="X819" s="1"/>
      <c r="Y819" s="1"/>
    </row>
    <row r="820" spans="1:25" ht="12.75" x14ac:dyDescent="0.35">
      <c r="A820" s="1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5"/>
      <c r="S820" s="1"/>
      <c r="T820" s="1"/>
      <c r="U820" s="24"/>
      <c r="V820" s="1"/>
      <c r="W820" s="5"/>
      <c r="X820" s="1"/>
      <c r="Y820" s="1"/>
    </row>
    <row r="821" spans="1:25" ht="12.75" x14ac:dyDescent="0.35">
      <c r="A821" s="1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5"/>
      <c r="S821" s="1"/>
      <c r="T821" s="1"/>
      <c r="U821" s="24"/>
      <c r="V821" s="1"/>
      <c r="W821" s="5"/>
      <c r="X821" s="1"/>
      <c r="Y821" s="1"/>
    </row>
    <row r="822" spans="1:25" ht="12.75" x14ac:dyDescent="0.35">
      <c r="A822" s="1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5"/>
      <c r="S822" s="1"/>
      <c r="T822" s="1"/>
      <c r="U822" s="24"/>
      <c r="V822" s="1"/>
      <c r="W822" s="5"/>
      <c r="X822" s="1"/>
      <c r="Y822" s="1"/>
    </row>
    <row r="823" spans="1:25" ht="12.75" x14ac:dyDescent="0.35">
      <c r="A823" s="1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5"/>
      <c r="S823" s="1"/>
      <c r="T823" s="1"/>
      <c r="U823" s="24"/>
      <c r="V823" s="1"/>
      <c r="W823" s="5"/>
      <c r="X823" s="1"/>
      <c r="Y823" s="1"/>
    </row>
    <row r="824" spans="1:25" ht="12.75" x14ac:dyDescent="0.35">
      <c r="A824" s="1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5"/>
      <c r="S824" s="1"/>
      <c r="T824" s="1"/>
      <c r="U824" s="24"/>
      <c r="V824" s="1"/>
      <c r="W824" s="5"/>
      <c r="X824" s="1"/>
      <c r="Y824" s="1"/>
    </row>
    <row r="825" spans="1:25" ht="12.75" x14ac:dyDescent="0.35">
      <c r="A825" s="1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5"/>
      <c r="S825" s="1"/>
      <c r="T825" s="1"/>
      <c r="U825" s="24"/>
      <c r="V825" s="1"/>
      <c r="W825" s="5"/>
      <c r="X825" s="1"/>
      <c r="Y825" s="1"/>
    </row>
    <row r="826" spans="1:25" ht="12.75" x14ac:dyDescent="0.35">
      <c r="A826" s="1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5"/>
      <c r="S826" s="1"/>
      <c r="T826" s="1"/>
      <c r="U826" s="24"/>
      <c r="V826" s="1"/>
      <c r="W826" s="5"/>
      <c r="X826" s="1"/>
      <c r="Y826" s="1"/>
    </row>
    <row r="827" spans="1:25" ht="12.75" x14ac:dyDescent="0.35">
      <c r="A827" s="1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5"/>
      <c r="S827" s="1"/>
      <c r="T827" s="1"/>
      <c r="U827" s="24"/>
      <c r="V827" s="1"/>
      <c r="W827" s="5"/>
      <c r="X827" s="1"/>
      <c r="Y827" s="1"/>
    </row>
    <row r="828" spans="1:25" ht="12.75" x14ac:dyDescent="0.35">
      <c r="A828" s="1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5"/>
      <c r="S828" s="1"/>
      <c r="T828" s="1"/>
      <c r="U828" s="24"/>
      <c r="V828" s="1"/>
      <c r="W828" s="5"/>
      <c r="X828" s="1"/>
      <c r="Y828" s="1"/>
    </row>
    <row r="829" spans="1:25" ht="12.75" x14ac:dyDescent="0.35">
      <c r="A829" s="1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5"/>
      <c r="S829" s="1"/>
      <c r="T829" s="1"/>
      <c r="U829" s="24"/>
      <c r="V829" s="1"/>
      <c r="W829" s="5"/>
      <c r="X829" s="1"/>
      <c r="Y829" s="1"/>
    </row>
    <row r="830" spans="1:25" ht="12.75" x14ac:dyDescent="0.35">
      <c r="A830" s="1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5"/>
      <c r="S830" s="1"/>
      <c r="T830" s="1"/>
      <c r="U830" s="24"/>
      <c r="V830" s="1"/>
      <c r="W830" s="5"/>
      <c r="X830" s="1"/>
      <c r="Y830" s="1"/>
    </row>
    <row r="831" spans="1:25" ht="12.75" x14ac:dyDescent="0.35">
      <c r="A831" s="1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5"/>
      <c r="S831" s="1"/>
      <c r="T831" s="1"/>
      <c r="U831" s="24"/>
      <c r="V831" s="1"/>
      <c r="W831" s="5"/>
      <c r="X831" s="1"/>
      <c r="Y831" s="1"/>
    </row>
    <row r="832" spans="1:25" ht="12.75" x14ac:dyDescent="0.35">
      <c r="A832" s="1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5"/>
      <c r="S832" s="1"/>
      <c r="T832" s="1"/>
      <c r="U832" s="24"/>
      <c r="V832" s="1"/>
      <c r="W832" s="5"/>
      <c r="X832" s="1"/>
      <c r="Y832" s="1"/>
    </row>
    <row r="833" spans="1:25" ht="12.75" x14ac:dyDescent="0.35">
      <c r="A833" s="1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5"/>
      <c r="S833" s="1"/>
      <c r="T833" s="1"/>
      <c r="U833" s="24"/>
      <c r="V833" s="1"/>
      <c r="W833" s="5"/>
      <c r="X833" s="1"/>
      <c r="Y833" s="1"/>
    </row>
    <row r="834" spans="1:25" ht="12.75" x14ac:dyDescent="0.35">
      <c r="A834" s="1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5"/>
      <c r="S834" s="1"/>
      <c r="T834" s="1"/>
      <c r="U834" s="24"/>
      <c r="V834" s="1"/>
      <c r="W834" s="5"/>
      <c r="X834" s="1"/>
      <c r="Y834" s="1"/>
    </row>
    <row r="835" spans="1:25" ht="12.75" x14ac:dyDescent="0.35">
      <c r="A835" s="1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5"/>
      <c r="S835" s="1"/>
      <c r="T835" s="1"/>
      <c r="U835" s="24"/>
      <c r="V835" s="1"/>
      <c r="W835" s="5"/>
      <c r="X835" s="1"/>
      <c r="Y835" s="1"/>
    </row>
    <row r="836" spans="1:25" ht="12.75" x14ac:dyDescent="0.35">
      <c r="A836" s="1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5"/>
      <c r="S836" s="1"/>
      <c r="T836" s="1"/>
      <c r="U836" s="24"/>
      <c r="V836" s="1"/>
      <c r="W836" s="5"/>
      <c r="X836" s="1"/>
      <c r="Y836" s="1"/>
    </row>
    <row r="837" spans="1:25" ht="12.75" x14ac:dyDescent="0.35">
      <c r="A837" s="1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5"/>
      <c r="S837" s="1"/>
      <c r="T837" s="1"/>
      <c r="U837" s="24"/>
      <c r="V837" s="1"/>
      <c r="W837" s="5"/>
      <c r="X837" s="1"/>
      <c r="Y837" s="1"/>
    </row>
    <row r="838" spans="1:25" ht="12.75" x14ac:dyDescent="0.35">
      <c r="A838" s="1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5"/>
      <c r="S838" s="1"/>
      <c r="T838" s="1"/>
      <c r="U838" s="24"/>
      <c r="V838" s="1"/>
      <c r="W838" s="5"/>
      <c r="X838" s="1"/>
      <c r="Y838" s="1"/>
    </row>
    <row r="839" spans="1:25" ht="12.75" x14ac:dyDescent="0.35">
      <c r="A839" s="1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5"/>
      <c r="S839" s="1"/>
      <c r="T839" s="1"/>
      <c r="U839" s="24"/>
      <c r="V839" s="1"/>
      <c r="W839" s="5"/>
      <c r="X839" s="1"/>
      <c r="Y839" s="1"/>
    </row>
    <row r="840" spans="1:25" ht="12.75" x14ac:dyDescent="0.35">
      <c r="A840" s="1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5"/>
      <c r="S840" s="1"/>
      <c r="T840" s="1"/>
      <c r="U840" s="24"/>
      <c r="V840" s="1"/>
      <c r="W840" s="5"/>
      <c r="X840" s="1"/>
      <c r="Y840" s="1"/>
    </row>
    <row r="841" spans="1:25" ht="12.75" x14ac:dyDescent="0.35">
      <c r="A841" s="1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5"/>
      <c r="S841" s="1"/>
      <c r="T841" s="1"/>
      <c r="U841" s="24"/>
      <c r="V841" s="1"/>
      <c r="W841" s="5"/>
      <c r="X841" s="1"/>
      <c r="Y841" s="1"/>
    </row>
    <row r="842" spans="1:25" ht="12.75" x14ac:dyDescent="0.35">
      <c r="A842" s="1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5"/>
      <c r="S842" s="1"/>
      <c r="T842" s="1"/>
      <c r="U842" s="24"/>
      <c r="V842" s="1"/>
      <c r="W842" s="5"/>
      <c r="X842" s="1"/>
      <c r="Y842" s="1"/>
    </row>
    <row r="843" spans="1:25" ht="12.75" x14ac:dyDescent="0.35">
      <c r="A843" s="1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5"/>
      <c r="S843" s="1"/>
      <c r="T843" s="1"/>
      <c r="U843" s="24"/>
      <c r="V843" s="1"/>
      <c r="W843" s="5"/>
      <c r="X843" s="1"/>
      <c r="Y843" s="1"/>
    </row>
    <row r="844" spans="1:25" ht="12.75" x14ac:dyDescent="0.35">
      <c r="A844" s="1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5"/>
      <c r="S844" s="1"/>
      <c r="T844" s="1"/>
      <c r="U844" s="24"/>
      <c r="V844" s="1"/>
      <c r="W844" s="5"/>
      <c r="X844" s="1"/>
      <c r="Y844" s="1"/>
    </row>
    <row r="845" spans="1:25" ht="12.75" x14ac:dyDescent="0.35">
      <c r="A845" s="1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5"/>
      <c r="S845" s="1"/>
      <c r="T845" s="1"/>
      <c r="U845" s="24"/>
      <c r="V845" s="1"/>
      <c r="W845" s="5"/>
      <c r="X845" s="1"/>
      <c r="Y845" s="1"/>
    </row>
    <row r="846" spans="1:25" ht="12.75" x14ac:dyDescent="0.35">
      <c r="A846" s="1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5"/>
      <c r="S846" s="1"/>
      <c r="T846" s="1"/>
      <c r="U846" s="24"/>
      <c r="V846" s="1"/>
      <c r="W846" s="5"/>
      <c r="X846" s="1"/>
      <c r="Y846" s="1"/>
    </row>
    <row r="847" spans="1:25" ht="12.75" x14ac:dyDescent="0.35">
      <c r="A847" s="1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5"/>
      <c r="S847" s="1"/>
      <c r="T847" s="1"/>
      <c r="U847" s="24"/>
      <c r="V847" s="1"/>
      <c r="W847" s="5"/>
      <c r="X847" s="1"/>
      <c r="Y847" s="1"/>
    </row>
    <row r="848" spans="1:25" ht="12.75" x14ac:dyDescent="0.35">
      <c r="A848" s="1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5"/>
      <c r="S848" s="1"/>
      <c r="T848" s="1"/>
      <c r="U848" s="24"/>
      <c r="V848" s="1"/>
      <c r="W848" s="5"/>
      <c r="X848" s="1"/>
      <c r="Y848" s="1"/>
    </row>
    <row r="849" spans="1:25" ht="12.75" x14ac:dyDescent="0.35">
      <c r="A849" s="1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5"/>
      <c r="S849" s="1"/>
      <c r="T849" s="1"/>
      <c r="U849" s="24"/>
      <c r="V849" s="1"/>
      <c r="W849" s="5"/>
      <c r="X849" s="1"/>
      <c r="Y849" s="1"/>
    </row>
    <row r="850" spans="1:25" ht="12.75" x14ac:dyDescent="0.35">
      <c r="A850" s="1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5"/>
      <c r="S850" s="1"/>
      <c r="T850" s="1"/>
      <c r="U850" s="24"/>
      <c r="V850" s="1"/>
      <c r="W850" s="5"/>
      <c r="X850" s="1"/>
      <c r="Y850" s="1"/>
    </row>
    <row r="851" spans="1:25" ht="12.75" x14ac:dyDescent="0.35">
      <c r="A851" s="1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5"/>
      <c r="S851" s="1"/>
      <c r="T851" s="1"/>
      <c r="U851" s="24"/>
      <c r="V851" s="1"/>
      <c r="W851" s="5"/>
      <c r="X851" s="1"/>
      <c r="Y851" s="1"/>
    </row>
    <row r="852" spans="1:25" ht="12.75" x14ac:dyDescent="0.35">
      <c r="A852" s="1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5"/>
      <c r="S852" s="1"/>
      <c r="T852" s="1"/>
      <c r="U852" s="24"/>
      <c r="V852" s="1"/>
      <c r="W852" s="5"/>
      <c r="X852" s="1"/>
      <c r="Y852" s="1"/>
    </row>
    <row r="853" spans="1:25" ht="12.75" x14ac:dyDescent="0.35">
      <c r="A853" s="1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5"/>
      <c r="S853" s="1"/>
      <c r="T853" s="1"/>
      <c r="U853" s="24"/>
      <c r="V853" s="1"/>
      <c r="W853" s="5"/>
      <c r="X853" s="1"/>
      <c r="Y853" s="1"/>
    </row>
    <row r="854" spans="1:25" ht="12.75" x14ac:dyDescent="0.35">
      <c r="A854" s="1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5"/>
      <c r="S854" s="1"/>
      <c r="T854" s="1"/>
      <c r="U854" s="24"/>
      <c r="V854" s="1"/>
      <c r="W854" s="5"/>
      <c r="X854" s="1"/>
      <c r="Y854" s="1"/>
    </row>
    <row r="855" spans="1:25" ht="12.75" x14ac:dyDescent="0.35">
      <c r="A855" s="1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5"/>
      <c r="S855" s="1"/>
      <c r="T855" s="1"/>
      <c r="U855" s="24"/>
      <c r="V855" s="1"/>
      <c r="W855" s="5"/>
      <c r="X855" s="1"/>
      <c r="Y855" s="1"/>
    </row>
    <row r="856" spans="1:25" ht="12.75" x14ac:dyDescent="0.35">
      <c r="A856" s="1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5"/>
      <c r="S856" s="1"/>
      <c r="T856" s="1"/>
      <c r="U856" s="24"/>
      <c r="V856" s="1"/>
      <c r="W856" s="5"/>
      <c r="X856" s="1"/>
      <c r="Y856" s="1"/>
    </row>
    <row r="857" spans="1:25" ht="12.75" x14ac:dyDescent="0.35">
      <c r="A857" s="1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5"/>
      <c r="S857" s="1"/>
      <c r="T857" s="1"/>
      <c r="U857" s="24"/>
      <c r="V857" s="1"/>
      <c r="W857" s="5"/>
      <c r="X857" s="1"/>
      <c r="Y857" s="1"/>
    </row>
    <row r="858" spans="1:25" ht="12.75" x14ac:dyDescent="0.35">
      <c r="A858" s="1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5"/>
      <c r="S858" s="1"/>
      <c r="T858" s="1"/>
      <c r="U858" s="24"/>
      <c r="V858" s="1"/>
      <c r="W858" s="5"/>
      <c r="X858" s="1"/>
      <c r="Y858" s="1"/>
    </row>
    <row r="859" spans="1:25" ht="12.75" x14ac:dyDescent="0.35">
      <c r="A859" s="1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5"/>
      <c r="S859" s="1"/>
      <c r="T859" s="1"/>
      <c r="U859" s="24"/>
      <c r="V859" s="1"/>
      <c r="W859" s="5"/>
      <c r="X859" s="1"/>
      <c r="Y859" s="1"/>
    </row>
    <row r="860" spans="1:25" ht="12.75" x14ac:dyDescent="0.35">
      <c r="A860" s="1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5"/>
      <c r="S860" s="1"/>
      <c r="T860" s="1"/>
      <c r="U860" s="24"/>
      <c r="V860" s="1"/>
      <c r="W860" s="5"/>
      <c r="X860" s="1"/>
      <c r="Y860" s="1"/>
    </row>
    <row r="861" spans="1:25" ht="12.75" x14ac:dyDescent="0.35">
      <c r="A861" s="1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5"/>
      <c r="S861" s="1"/>
      <c r="T861" s="1"/>
      <c r="U861" s="24"/>
      <c r="V861" s="1"/>
      <c r="W861" s="5"/>
      <c r="X861" s="1"/>
      <c r="Y861" s="1"/>
    </row>
    <row r="862" spans="1:25" ht="12.75" x14ac:dyDescent="0.35">
      <c r="A862" s="1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5"/>
      <c r="S862" s="1"/>
      <c r="T862" s="1"/>
      <c r="U862" s="24"/>
      <c r="V862" s="1"/>
      <c r="W862" s="5"/>
      <c r="X862" s="1"/>
      <c r="Y862" s="1"/>
    </row>
    <row r="863" spans="1:25" ht="12.75" x14ac:dyDescent="0.35">
      <c r="A863" s="1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5"/>
      <c r="S863" s="1"/>
      <c r="T863" s="1"/>
      <c r="U863" s="24"/>
      <c r="V863" s="1"/>
      <c r="W863" s="5"/>
      <c r="X863" s="1"/>
      <c r="Y863" s="1"/>
    </row>
    <row r="864" spans="1:25" ht="12.75" x14ac:dyDescent="0.35">
      <c r="A864" s="1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5"/>
      <c r="S864" s="1"/>
      <c r="T864" s="1"/>
      <c r="U864" s="24"/>
      <c r="V864" s="1"/>
      <c r="W864" s="5"/>
      <c r="X864" s="1"/>
      <c r="Y864" s="1"/>
    </row>
    <row r="865" spans="1:25" ht="12.75" x14ac:dyDescent="0.35">
      <c r="A865" s="1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5"/>
      <c r="S865" s="1"/>
      <c r="T865" s="1"/>
      <c r="U865" s="24"/>
      <c r="V865" s="1"/>
      <c r="W865" s="5"/>
      <c r="X865" s="1"/>
      <c r="Y865" s="1"/>
    </row>
    <row r="866" spans="1:25" ht="12.75" x14ac:dyDescent="0.35">
      <c r="A866" s="1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5"/>
      <c r="S866" s="1"/>
      <c r="T866" s="1"/>
      <c r="U866" s="24"/>
      <c r="V866" s="1"/>
      <c r="W866" s="5"/>
      <c r="X866" s="1"/>
      <c r="Y866" s="1"/>
    </row>
    <row r="867" spans="1:25" ht="12.75" x14ac:dyDescent="0.35">
      <c r="A867" s="1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5"/>
      <c r="S867" s="1"/>
      <c r="T867" s="1"/>
      <c r="U867" s="24"/>
      <c r="V867" s="1"/>
      <c r="W867" s="5"/>
      <c r="X867" s="1"/>
      <c r="Y867" s="1"/>
    </row>
    <row r="868" spans="1:25" ht="12.75" x14ac:dyDescent="0.35">
      <c r="A868" s="1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5"/>
      <c r="S868" s="1"/>
      <c r="T868" s="1"/>
      <c r="U868" s="24"/>
      <c r="V868" s="1"/>
      <c r="W868" s="5"/>
      <c r="X868" s="1"/>
      <c r="Y868" s="1"/>
    </row>
    <row r="869" spans="1:25" ht="12.75" x14ac:dyDescent="0.35">
      <c r="A869" s="1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5"/>
      <c r="S869" s="1"/>
      <c r="T869" s="1"/>
      <c r="U869" s="24"/>
      <c r="V869" s="1"/>
      <c r="W869" s="5"/>
      <c r="X869" s="1"/>
      <c r="Y869" s="1"/>
    </row>
    <row r="870" spans="1:25" ht="12.75" x14ac:dyDescent="0.35">
      <c r="A870" s="1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5"/>
      <c r="S870" s="1"/>
      <c r="T870" s="1"/>
      <c r="U870" s="24"/>
      <c r="V870" s="1"/>
      <c r="W870" s="5"/>
      <c r="X870" s="1"/>
      <c r="Y870" s="1"/>
    </row>
    <row r="871" spans="1:25" ht="12.75" x14ac:dyDescent="0.35">
      <c r="A871" s="1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5"/>
      <c r="S871" s="1"/>
      <c r="T871" s="1"/>
      <c r="U871" s="24"/>
      <c r="V871" s="1"/>
      <c r="W871" s="5"/>
      <c r="X871" s="1"/>
      <c r="Y871" s="1"/>
    </row>
    <row r="872" spans="1:25" ht="12.75" x14ac:dyDescent="0.35">
      <c r="A872" s="1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5"/>
      <c r="S872" s="1"/>
      <c r="T872" s="1"/>
      <c r="U872" s="24"/>
      <c r="V872" s="1"/>
      <c r="W872" s="5"/>
      <c r="X872" s="1"/>
      <c r="Y872" s="1"/>
    </row>
    <row r="873" spans="1:25" ht="12.75" x14ac:dyDescent="0.35">
      <c r="A873" s="1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5"/>
      <c r="S873" s="1"/>
      <c r="T873" s="1"/>
      <c r="U873" s="24"/>
      <c r="V873" s="1"/>
      <c r="W873" s="5"/>
      <c r="X873" s="1"/>
      <c r="Y873" s="1"/>
    </row>
    <row r="874" spans="1:25" ht="12.75" x14ac:dyDescent="0.35">
      <c r="A874" s="1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5"/>
      <c r="S874" s="1"/>
      <c r="T874" s="1"/>
      <c r="U874" s="24"/>
      <c r="V874" s="1"/>
      <c r="W874" s="5"/>
      <c r="X874" s="1"/>
      <c r="Y874" s="1"/>
    </row>
    <row r="875" spans="1:25" ht="12.75" x14ac:dyDescent="0.35">
      <c r="A875" s="1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5"/>
      <c r="S875" s="1"/>
      <c r="T875" s="1"/>
      <c r="U875" s="24"/>
      <c r="V875" s="1"/>
      <c r="W875" s="5"/>
      <c r="X875" s="1"/>
      <c r="Y875" s="1"/>
    </row>
    <row r="876" spans="1:25" ht="12.75" x14ac:dyDescent="0.35">
      <c r="A876" s="1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5"/>
      <c r="S876" s="1"/>
      <c r="T876" s="1"/>
      <c r="U876" s="24"/>
      <c r="V876" s="1"/>
      <c r="W876" s="5"/>
      <c r="X876" s="1"/>
      <c r="Y876" s="1"/>
    </row>
    <row r="877" spans="1:25" ht="12.75" x14ac:dyDescent="0.35">
      <c r="A877" s="1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5"/>
      <c r="S877" s="1"/>
      <c r="T877" s="1"/>
      <c r="U877" s="24"/>
      <c r="V877" s="1"/>
      <c r="W877" s="5"/>
      <c r="X877" s="1"/>
      <c r="Y877" s="1"/>
    </row>
    <row r="878" spans="1:25" ht="12.75" x14ac:dyDescent="0.35">
      <c r="A878" s="1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5"/>
      <c r="S878" s="1"/>
      <c r="T878" s="1"/>
      <c r="U878" s="24"/>
      <c r="V878" s="1"/>
      <c r="W878" s="5"/>
      <c r="X878" s="1"/>
      <c r="Y878" s="1"/>
    </row>
    <row r="879" spans="1:25" ht="12.75" x14ac:dyDescent="0.35">
      <c r="A879" s="1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5"/>
      <c r="S879" s="1"/>
      <c r="T879" s="1"/>
      <c r="U879" s="24"/>
      <c r="V879" s="1"/>
      <c r="W879" s="5"/>
      <c r="X879" s="1"/>
      <c r="Y879" s="1"/>
    </row>
    <row r="880" spans="1:25" ht="12.75" x14ac:dyDescent="0.35">
      <c r="A880" s="1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5"/>
      <c r="S880" s="1"/>
      <c r="T880" s="1"/>
      <c r="U880" s="24"/>
      <c r="V880" s="1"/>
      <c r="W880" s="5"/>
      <c r="X880" s="1"/>
      <c r="Y880" s="1"/>
    </row>
    <row r="881" spans="1:25" ht="12.75" x14ac:dyDescent="0.35">
      <c r="A881" s="1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5"/>
      <c r="S881" s="1"/>
      <c r="T881" s="1"/>
      <c r="U881" s="24"/>
      <c r="V881" s="1"/>
      <c r="W881" s="5"/>
      <c r="X881" s="1"/>
      <c r="Y881" s="1"/>
    </row>
    <row r="882" spans="1:25" ht="12.75" x14ac:dyDescent="0.35">
      <c r="A882" s="1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5"/>
      <c r="S882" s="1"/>
      <c r="T882" s="1"/>
      <c r="U882" s="24"/>
      <c r="V882" s="1"/>
      <c r="W882" s="5"/>
      <c r="X882" s="1"/>
      <c r="Y882" s="1"/>
    </row>
    <row r="883" spans="1:25" ht="12.75" x14ac:dyDescent="0.35">
      <c r="A883" s="1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5"/>
      <c r="S883" s="1"/>
      <c r="T883" s="1"/>
      <c r="U883" s="24"/>
      <c r="V883" s="1"/>
      <c r="W883" s="5"/>
      <c r="X883" s="1"/>
      <c r="Y883" s="1"/>
    </row>
    <row r="884" spans="1:25" ht="12.75" x14ac:dyDescent="0.35">
      <c r="A884" s="1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5"/>
      <c r="S884" s="1"/>
      <c r="T884" s="1"/>
      <c r="U884" s="24"/>
      <c r="V884" s="1"/>
      <c r="W884" s="5"/>
      <c r="X884" s="1"/>
      <c r="Y884" s="1"/>
    </row>
    <row r="885" spans="1:25" ht="12.75" x14ac:dyDescent="0.35">
      <c r="A885" s="1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5"/>
      <c r="S885" s="1"/>
      <c r="T885" s="1"/>
      <c r="U885" s="24"/>
      <c r="V885" s="1"/>
      <c r="W885" s="5"/>
      <c r="X885" s="1"/>
      <c r="Y885" s="1"/>
    </row>
    <row r="886" spans="1:25" ht="12.75" x14ac:dyDescent="0.35">
      <c r="A886" s="1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5"/>
      <c r="S886" s="1"/>
      <c r="T886" s="1"/>
      <c r="U886" s="24"/>
      <c r="V886" s="1"/>
      <c r="W886" s="5"/>
      <c r="X886" s="1"/>
      <c r="Y886" s="1"/>
    </row>
    <row r="887" spans="1:25" ht="12.75" x14ac:dyDescent="0.35">
      <c r="A887" s="1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5"/>
      <c r="S887" s="1"/>
      <c r="T887" s="1"/>
      <c r="U887" s="24"/>
      <c r="V887" s="1"/>
      <c r="W887" s="5"/>
      <c r="X887" s="1"/>
      <c r="Y887" s="1"/>
    </row>
    <row r="888" spans="1:25" ht="12.75" x14ac:dyDescent="0.35">
      <c r="A888" s="1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5"/>
      <c r="S888" s="1"/>
      <c r="T888" s="1"/>
      <c r="U888" s="24"/>
      <c r="V888" s="1"/>
      <c r="W888" s="5"/>
      <c r="X888" s="1"/>
      <c r="Y888" s="1"/>
    </row>
    <row r="889" spans="1:25" ht="12.75" x14ac:dyDescent="0.35">
      <c r="A889" s="1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5"/>
      <c r="S889" s="1"/>
      <c r="T889" s="1"/>
      <c r="U889" s="24"/>
      <c r="V889" s="1"/>
      <c r="W889" s="5"/>
      <c r="X889" s="1"/>
      <c r="Y889" s="1"/>
    </row>
    <row r="890" spans="1:25" ht="12.75" x14ac:dyDescent="0.35">
      <c r="A890" s="1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5"/>
      <c r="S890" s="1"/>
      <c r="T890" s="1"/>
      <c r="U890" s="24"/>
      <c r="V890" s="1"/>
      <c r="W890" s="5"/>
      <c r="X890" s="1"/>
      <c r="Y890" s="1"/>
    </row>
    <row r="891" spans="1:25" ht="12.75" x14ac:dyDescent="0.35">
      <c r="A891" s="1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5"/>
      <c r="S891" s="1"/>
      <c r="T891" s="1"/>
      <c r="U891" s="24"/>
      <c r="V891" s="1"/>
      <c r="W891" s="5"/>
      <c r="X891" s="1"/>
      <c r="Y891" s="1"/>
    </row>
    <row r="892" spans="1:25" ht="12.75" x14ac:dyDescent="0.35">
      <c r="A892" s="1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5"/>
      <c r="S892" s="1"/>
      <c r="T892" s="1"/>
      <c r="U892" s="24"/>
      <c r="V892" s="1"/>
      <c r="W892" s="5"/>
      <c r="X892" s="1"/>
      <c r="Y892" s="1"/>
    </row>
    <row r="893" spans="1:25" ht="12.75" x14ac:dyDescent="0.35">
      <c r="A893" s="1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5"/>
      <c r="S893" s="1"/>
      <c r="T893" s="1"/>
      <c r="U893" s="24"/>
      <c r="V893" s="1"/>
      <c r="W893" s="5"/>
      <c r="X893" s="1"/>
      <c r="Y893" s="1"/>
    </row>
    <row r="894" spans="1:25" ht="12.75" x14ac:dyDescent="0.35">
      <c r="A894" s="1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5"/>
      <c r="S894" s="1"/>
      <c r="T894" s="1"/>
      <c r="U894" s="24"/>
      <c r="V894" s="1"/>
      <c r="W894" s="5"/>
      <c r="X894" s="1"/>
      <c r="Y894" s="1"/>
    </row>
    <row r="895" spans="1:25" ht="12.75" x14ac:dyDescent="0.35">
      <c r="A895" s="1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5"/>
      <c r="S895" s="1"/>
      <c r="T895" s="1"/>
      <c r="U895" s="24"/>
      <c r="V895" s="1"/>
      <c r="W895" s="5"/>
      <c r="X895" s="1"/>
      <c r="Y895" s="1"/>
    </row>
    <row r="896" spans="1:25" ht="12.75" x14ac:dyDescent="0.35">
      <c r="A896" s="1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5"/>
      <c r="S896" s="1"/>
      <c r="T896" s="1"/>
      <c r="U896" s="24"/>
      <c r="V896" s="1"/>
      <c r="W896" s="5"/>
      <c r="X896" s="1"/>
      <c r="Y896" s="1"/>
    </row>
    <row r="897" spans="1:25" ht="12.75" x14ac:dyDescent="0.35">
      <c r="A897" s="1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5"/>
      <c r="S897" s="1"/>
      <c r="T897" s="1"/>
      <c r="U897" s="24"/>
      <c r="V897" s="1"/>
      <c r="W897" s="5"/>
      <c r="X897" s="1"/>
      <c r="Y897" s="1"/>
    </row>
    <row r="898" spans="1:25" ht="12.75" x14ac:dyDescent="0.35">
      <c r="A898" s="1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5"/>
      <c r="S898" s="1"/>
      <c r="T898" s="1"/>
      <c r="U898" s="24"/>
      <c r="V898" s="1"/>
      <c r="W898" s="5"/>
      <c r="X898" s="1"/>
      <c r="Y898" s="1"/>
    </row>
    <row r="899" spans="1:25" ht="12.75" x14ac:dyDescent="0.35">
      <c r="A899" s="1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5"/>
      <c r="S899" s="1"/>
      <c r="T899" s="1"/>
      <c r="U899" s="24"/>
      <c r="V899" s="1"/>
      <c r="W899" s="5"/>
      <c r="X899" s="1"/>
      <c r="Y899" s="1"/>
    </row>
    <row r="900" spans="1:25" ht="12.75" x14ac:dyDescent="0.35">
      <c r="A900" s="1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5"/>
      <c r="S900" s="1"/>
      <c r="T900" s="1"/>
      <c r="U900" s="24"/>
      <c r="V900" s="1"/>
      <c r="W900" s="5"/>
      <c r="X900" s="1"/>
      <c r="Y900" s="1"/>
    </row>
    <row r="901" spans="1:25" ht="12.75" x14ac:dyDescent="0.35">
      <c r="A901" s="1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5"/>
      <c r="S901" s="1"/>
      <c r="T901" s="1"/>
      <c r="U901" s="24"/>
      <c r="V901" s="1"/>
      <c r="W901" s="5"/>
      <c r="X901" s="1"/>
      <c r="Y901" s="1"/>
    </row>
    <row r="902" spans="1:25" ht="12.75" x14ac:dyDescent="0.35">
      <c r="A902" s="1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5"/>
      <c r="S902" s="1"/>
      <c r="T902" s="1"/>
      <c r="U902" s="24"/>
      <c r="V902" s="1"/>
      <c r="W902" s="5"/>
      <c r="X902" s="1"/>
      <c r="Y902" s="1"/>
    </row>
    <row r="903" spans="1:25" ht="12.75" x14ac:dyDescent="0.35">
      <c r="A903" s="1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5"/>
      <c r="S903" s="1"/>
      <c r="T903" s="1"/>
      <c r="U903" s="24"/>
      <c r="V903" s="1"/>
      <c r="W903" s="5"/>
      <c r="X903" s="1"/>
      <c r="Y903" s="1"/>
    </row>
    <row r="904" spans="1:25" ht="12.75" x14ac:dyDescent="0.35">
      <c r="A904" s="1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5"/>
      <c r="S904" s="1"/>
      <c r="T904" s="1"/>
      <c r="U904" s="24"/>
      <c r="V904" s="1"/>
      <c r="W904" s="5"/>
      <c r="X904" s="1"/>
      <c r="Y904" s="1"/>
    </row>
    <row r="905" spans="1:25" ht="12.75" x14ac:dyDescent="0.35">
      <c r="A905" s="1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5"/>
      <c r="S905" s="1"/>
      <c r="T905" s="1"/>
      <c r="U905" s="24"/>
      <c r="V905" s="1"/>
      <c r="W905" s="5"/>
      <c r="X905" s="1"/>
      <c r="Y905" s="1"/>
    </row>
    <row r="906" spans="1:25" ht="12.75" x14ac:dyDescent="0.35">
      <c r="A906" s="1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5"/>
      <c r="S906" s="1"/>
      <c r="T906" s="1"/>
      <c r="U906" s="24"/>
      <c r="V906" s="1"/>
      <c r="W906" s="5"/>
      <c r="X906" s="1"/>
      <c r="Y906" s="1"/>
    </row>
    <row r="907" spans="1:25" ht="12.75" x14ac:dyDescent="0.35">
      <c r="A907" s="1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5"/>
      <c r="S907" s="1"/>
      <c r="T907" s="1"/>
      <c r="U907" s="24"/>
      <c r="V907" s="1"/>
      <c r="W907" s="5"/>
      <c r="X907" s="1"/>
      <c r="Y907" s="1"/>
    </row>
    <row r="908" spans="1:25" ht="12.75" x14ac:dyDescent="0.35">
      <c r="A908" s="1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5"/>
      <c r="S908" s="1"/>
      <c r="T908" s="1"/>
      <c r="U908" s="24"/>
      <c r="V908" s="1"/>
      <c r="W908" s="5"/>
      <c r="X908" s="1"/>
      <c r="Y908" s="1"/>
    </row>
    <row r="909" spans="1:25" ht="12.75" x14ac:dyDescent="0.35">
      <c r="A909" s="1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5"/>
      <c r="S909" s="1"/>
      <c r="T909" s="1"/>
      <c r="U909" s="24"/>
      <c r="V909" s="1"/>
      <c r="W909" s="5"/>
      <c r="X909" s="1"/>
      <c r="Y909" s="1"/>
    </row>
    <row r="910" spans="1:25" ht="12.75" x14ac:dyDescent="0.35">
      <c r="A910" s="1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5"/>
      <c r="S910" s="1"/>
      <c r="T910" s="1"/>
      <c r="U910" s="24"/>
      <c r="V910" s="1"/>
      <c r="W910" s="5"/>
      <c r="X910" s="1"/>
      <c r="Y910" s="1"/>
    </row>
    <row r="911" spans="1:25" ht="12.75" x14ac:dyDescent="0.35">
      <c r="A911" s="1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5"/>
      <c r="S911" s="1"/>
      <c r="T911" s="1"/>
      <c r="U911" s="24"/>
      <c r="V911" s="1"/>
      <c r="W911" s="5"/>
      <c r="X911" s="1"/>
      <c r="Y911" s="1"/>
    </row>
    <row r="912" spans="1:25" ht="12.75" x14ac:dyDescent="0.35">
      <c r="A912" s="1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5"/>
      <c r="S912" s="1"/>
      <c r="T912" s="1"/>
      <c r="U912" s="24"/>
      <c r="V912" s="1"/>
      <c r="W912" s="5"/>
      <c r="X912" s="1"/>
      <c r="Y912" s="1"/>
    </row>
    <row r="913" spans="1:25" ht="12.75" x14ac:dyDescent="0.35">
      <c r="A913" s="1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5"/>
      <c r="S913" s="1"/>
      <c r="T913" s="1"/>
      <c r="U913" s="24"/>
      <c r="V913" s="1"/>
      <c r="W913" s="5"/>
      <c r="X913" s="1"/>
      <c r="Y913" s="1"/>
    </row>
    <row r="914" spans="1:25" ht="12.75" x14ac:dyDescent="0.35">
      <c r="A914" s="1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5"/>
      <c r="S914" s="1"/>
      <c r="T914" s="1"/>
      <c r="U914" s="24"/>
      <c r="V914" s="1"/>
      <c r="W914" s="5"/>
      <c r="X914" s="1"/>
      <c r="Y914" s="1"/>
    </row>
    <row r="915" spans="1:25" ht="12.75" x14ac:dyDescent="0.35">
      <c r="A915" s="1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5"/>
      <c r="S915" s="1"/>
      <c r="T915" s="1"/>
      <c r="U915" s="24"/>
      <c r="V915" s="1"/>
      <c r="W915" s="5"/>
      <c r="X915" s="1"/>
      <c r="Y915" s="1"/>
    </row>
    <row r="916" spans="1:25" ht="12.75" x14ac:dyDescent="0.35">
      <c r="A916" s="1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5"/>
      <c r="S916" s="1"/>
      <c r="T916" s="1"/>
      <c r="U916" s="24"/>
      <c r="V916" s="1"/>
      <c r="W916" s="5"/>
      <c r="X916" s="1"/>
      <c r="Y916" s="1"/>
    </row>
    <row r="917" spans="1:25" ht="12.75" x14ac:dyDescent="0.35">
      <c r="A917" s="1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5"/>
      <c r="S917" s="1"/>
      <c r="T917" s="1"/>
      <c r="U917" s="24"/>
      <c r="V917" s="1"/>
      <c r="W917" s="5"/>
      <c r="X917" s="1"/>
      <c r="Y917" s="1"/>
    </row>
    <row r="918" spans="1:25" ht="12.75" x14ac:dyDescent="0.35">
      <c r="A918" s="1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5"/>
      <c r="S918" s="1"/>
      <c r="T918" s="1"/>
      <c r="U918" s="24"/>
      <c r="V918" s="1"/>
      <c r="W918" s="5"/>
      <c r="X918" s="1"/>
      <c r="Y918" s="1"/>
    </row>
    <row r="919" spans="1:25" ht="12.75" x14ac:dyDescent="0.35">
      <c r="A919" s="1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5"/>
      <c r="S919" s="1"/>
      <c r="T919" s="1"/>
      <c r="U919" s="24"/>
      <c r="V919" s="1"/>
      <c r="W919" s="5"/>
      <c r="X919" s="1"/>
      <c r="Y919" s="1"/>
    </row>
    <row r="920" spans="1:25" ht="12.75" x14ac:dyDescent="0.35">
      <c r="A920" s="1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5"/>
      <c r="S920" s="1"/>
      <c r="T920" s="1"/>
      <c r="U920" s="24"/>
      <c r="V920" s="1"/>
      <c r="W920" s="5"/>
      <c r="X920" s="1"/>
      <c r="Y920" s="1"/>
    </row>
    <row r="921" spans="1:25" ht="12.75" x14ac:dyDescent="0.35">
      <c r="A921" s="1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5"/>
      <c r="S921" s="1"/>
      <c r="T921" s="1"/>
      <c r="U921" s="24"/>
      <c r="V921" s="1"/>
      <c r="W921" s="5"/>
      <c r="X921" s="1"/>
      <c r="Y921" s="1"/>
    </row>
    <row r="922" spans="1:25" ht="12.75" x14ac:dyDescent="0.35">
      <c r="A922" s="1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5"/>
      <c r="S922" s="1"/>
      <c r="T922" s="1"/>
      <c r="U922" s="24"/>
      <c r="V922" s="1"/>
      <c r="W922" s="5"/>
      <c r="X922" s="1"/>
      <c r="Y922" s="1"/>
    </row>
    <row r="923" spans="1:25" ht="12.75" x14ac:dyDescent="0.35">
      <c r="A923" s="1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5"/>
      <c r="S923" s="1"/>
      <c r="T923" s="1"/>
      <c r="U923" s="24"/>
      <c r="V923" s="1"/>
      <c r="W923" s="5"/>
      <c r="X923" s="1"/>
      <c r="Y923" s="1"/>
    </row>
    <row r="924" spans="1:25" ht="12.75" x14ac:dyDescent="0.35">
      <c r="A924" s="1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5"/>
      <c r="S924" s="1"/>
      <c r="T924" s="1"/>
      <c r="U924" s="24"/>
      <c r="V924" s="1"/>
      <c r="W924" s="5"/>
      <c r="X924" s="1"/>
      <c r="Y924" s="1"/>
    </row>
    <row r="925" spans="1:25" ht="12.75" x14ac:dyDescent="0.35">
      <c r="A925" s="1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5"/>
      <c r="S925" s="1"/>
      <c r="T925" s="1"/>
      <c r="U925" s="24"/>
      <c r="V925" s="1"/>
      <c r="W925" s="5"/>
      <c r="X925" s="1"/>
      <c r="Y925" s="1"/>
    </row>
    <row r="926" spans="1:25" ht="12.75" x14ac:dyDescent="0.35">
      <c r="A926" s="1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5"/>
      <c r="S926" s="1"/>
      <c r="T926" s="1"/>
      <c r="U926" s="24"/>
      <c r="V926" s="1"/>
      <c r="W926" s="5"/>
      <c r="X926" s="1"/>
      <c r="Y926" s="1"/>
    </row>
    <row r="927" spans="1:25" ht="12.75" x14ac:dyDescent="0.35">
      <c r="A927" s="1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5"/>
      <c r="S927" s="1"/>
      <c r="T927" s="1"/>
      <c r="U927" s="24"/>
      <c r="V927" s="1"/>
      <c r="W927" s="5"/>
      <c r="X927" s="1"/>
      <c r="Y927" s="1"/>
    </row>
    <row r="928" spans="1:25" ht="12.75" x14ac:dyDescent="0.35">
      <c r="A928" s="1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5"/>
      <c r="S928" s="1"/>
      <c r="T928" s="1"/>
      <c r="U928" s="24"/>
      <c r="V928" s="1"/>
      <c r="W928" s="5"/>
      <c r="X928" s="1"/>
      <c r="Y928" s="1"/>
    </row>
    <row r="929" spans="1:25" ht="12.75" x14ac:dyDescent="0.35">
      <c r="A929" s="1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5"/>
      <c r="S929" s="1"/>
      <c r="T929" s="1"/>
      <c r="U929" s="24"/>
      <c r="V929" s="1"/>
      <c r="W929" s="5"/>
      <c r="X929" s="1"/>
      <c r="Y929" s="1"/>
    </row>
    <row r="930" spans="1:25" ht="12.75" x14ac:dyDescent="0.35">
      <c r="A930" s="1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5"/>
      <c r="S930" s="1"/>
      <c r="T930" s="1"/>
      <c r="U930" s="24"/>
      <c r="V930" s="1"/>
      <c r="W930" s="5"/>
      <c r="X930" s="1"/>
      <c r="Y930" s="1"/>
    </row>
    <row r="931" spans="1:25" ht="12.75" x14ac:dyDescent="0.35">
      <c r="A931" s="1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5"/>
      <c r="S931" s="1"/>
      <c r="T931" s="1"/>
      <c r="U931" s="24"/>
      <c r="V931" s="1"/>
      <c r="W931" s="5"/>
      <c r="X931" s="1"/>
      <c r="Y931" s="1"/>
    </row>
    <row r="932" spans="1:25" ht="12.75" x14ac:dyDescent="0.35">
      <c r="A932" s="1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5"/>
      <c r="S932" s="1"/>
      <c r="T932" s="1"/>
      <c r="U932" s="24"/>
      <c r="V932" s="1"/>
      <c r="W932" s="5"/>
      <c r="X932" s="1"/>
      <c r="Y932" s="1"/>
    </row>
    <row r="933" spans="1:25" ht="12.75" x14ac:dyDescent="0.35">
      <c r="A933" s="1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5"/>
      <c r="S933" s="1"/>
      <c r="T933" s="1"/>
      <c r="U933" s="24"/>
      <c r="V933" s="1"/>
      <c r="W933" s="5"/>
      <c r="X933" s="1"/>
      <c r="Y933" s="1"/>
    </row>
    <row r="934" spans="1:25" ht="12.75" x14ac:dyDescent="0.35">
      <c r="A934" s="1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5"/>
      <c r="S934" s="1"/>
      <c r="T934" s="1"/>
      <c r="U934" s="24"/>
      <c r="V934" s="1"/>
      <c r="W934" s="5"/>
      <c r="X934" s="1"/>
      <c r="Y934" s="1"/>
    </row>
    <row r="935" spans="1:25" ht="12.75" x14ac:dyDescent="0.35">
      <c r="A935" s="1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5"/>
      <c r="S935" s="1"/>
      <c r="T935" s="1"/>
      <c r="U935" s="24"/>
      <c r="V935" s="1"/>
      <c r="W935" s="5"/>
      <c r="X935" s="1"/>
      <c r="Y935" s="1"/>
    </row>
    <row r="936" spans="1:25" ht="12.75" x14ac:dyDescent="0.35">
      <c r="A936" s="1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5"/>
      <c r="S936" s="1"/>
      <c r="T936" s="1"/>
      <c r="U936" s="24"/>
      <c r="V936" s="1"/>
      <c r="W936" s="5"/>
      <c r="X936" s="1"/>
      <c r="Y936" s="1"/>
    </row>
    <row r="937" spans="1:25" ht="12.75" x14ac:dyDescent="0.35">
      <c r="A937" s="1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5"/>
      <c r="S937" s="1"/>
      <c r="T937" s="1"/>
      <c r="U937" s="24"/>
      <c r="V937" s="1"/>
      <c r="W937" s="5"/>
      <c r="X937" s="1"/>
      <c r="Y937" s="1"/>
    </row>
    <row r="938" spans="1:25" ht="12.75" x14ac:dyDescent="0.35">
      <c r="A938" s="1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5"/>
      <c r="S938" s="1"/>
      <c r="T938" s="1"/>
      <c r="U938" s="24"/>
      <c r="V938" s="1"/>
      <c r="W938" s="5"/>
      <c r="X938" s="1"/>
      <c r="Y938" s="1"/>
    </row>
    <row r="939" spans="1:25" ht="12.75" x14ac:dyDescent="0.35">
      <c r="A939" s="1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5"/>
      <c r="S939" s="1"/>
      <c r="T939" s="1"/>
      <c r="U939" s="24"/>
      <c r="V939" s="1"/>
      <c r="W939" s="5"/>
      <c r="X939" s="1"/>
      <c r="Y939" s="1"/>
    </row>
    <row r="940" spans="1:25" ht="12.75" x14ac:dyDescent="0.35">
      <c r="A940" s="1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5"/>
      <c r="S940" s="1"/>
      <c r="T940" s="1"/>
      <c r="U940" s="24"/>
      <c r="V940" s="1"/>
      <c r="W940" s="5"/>
      <c r="X940" s="1"/>
      <c r="Y940" s="1"/>
    </row>
    <row r="941" spans="1:25" ht="12.75" x14ac:dyDescent="0.35">
      <c r="A941" s="1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5"/>
      <c r="S941" s="1"/>
      <c r="T941" s="1"/>
      <c r="U941" s="24"/>
      <c r="V941" s="1"/>
      <c r="W941" s="5"/>
      <c r="X941" s="1"/>
      <c r="Y941" s="1"/>
    </row>
    <row r="942" spans="1:25" ht="12.75" x14ac:dyDescent="0.35">
      <c r="A942" s="1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5"/>
      <c r="S942" s="1"/>
      <c r="T942" s="1"/>
      <c r="U942" s="24"/>
      <c r="V942" s="1"/>
      <c r="W942" s="5"/>
      <c r="X942" s="1"/>
      <c r="Y942" s="1"/>
    </row>
    <row r="943" spans="1:25" ht="12.75" x14ac:dyDescent="0.35">
      <c r="A943" s="1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5"/>
      <c r="S943" s="1"/>
      <c r="T943" s="1"/>
      <c r="U943" s="24"/>
      <c r="V943" s="1"/>
      <c r="W943" s="5"/>
      <c r="X943" s="1"/>
      <c r="Y943" s="1"/>
    </row>
    <row r="944" spans="1:25" ht="12.75" x14ac:dyDescent="0.35">
      <c r="A944" s="1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5"/>
      <c r="S944" s="1"/>
      <c r="T944" s="1"/>
      <c r="U944" s="24"/>
      <c r="V944" s="1"/>
      <c r="W944" s="5"/>
      <c r="X944" s="1"/>
      <c r="Y944" s="1"/>
    </row>
    <row r="945" spans="1:25" ht="12.75" x14ac:dyDescent="0.35">
      <c r="A945" s="1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5"/>
      <c r="S945" s="1"/>
      <c r="T945" s="1"/>
      <c r="U945" s="24"/>
      <c r="V945" s="1"/>
      <c r="W945" s="5"/>
      <c r="X945" s="1"/>
      <c r="Y945" s="1"/>
    </row>
    <row r="946" spans="1:25" ht="12.75" x14ac:dyDescent="0.35">
      <c r="A946" s="1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5"/>
      <c r="S946" s="1"/>
      <c r="T946" s="1"/>
      <c r="U946" s="24"/>
      <c r="V946" s="1"/>
      <c r="W946" s="5"/>
      <c r="X946" s="1"/>
      <c r="Y946" s="1"/>
    </row>
    <row r="947" spans="1:25" ht="12.75" x14ac:dyDescent="0.35">
      <c r="A947" s="1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5"/>
      <c r="S947" s="1"/>
      <c r="T947" s="1"/>
      <c r="U947" s="24"/>
      <c r="V947" s="1"/>
      <c r="W947" s="5"/>
      <c r="X947" s="1"/>
      <c r="Y947" s="1"/>
    </row>
    <row r="948" spans="1:25" ht="12.75" x14ac:dyDescent="0.35">
      <c r="A948" s="1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5"/>
      <c r="S948" s="1"/>
      <c r="T948" s="1"/>
      <c r="U948" s="24"/>
      <c r="V948" s="1"/>
      <c r="W948" s="5"/>
      <c r="X948" s="1"/>
      <c r="Y948" s="1"/>
    </row>
    <row r="949" spans="1:25" ht="12.75" x14ac:dyDescent="0.35">
      <c r="A949" s="1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5"/>
      <c r="S949" s="1"/>
      <c r="T949" s="1"/>
      <c r="U949" s="24"/>
      <c r="V949" s="1"/>
      <c r="W949" s="5"/>
      <c r="X949" s="1"/>
      <c r="Y949" s="1"/>
    </row>
    <row r="950" spans="1:25" ht="12.75" x14ac:dyDescent="0.35">
      <c r="A950" s="1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5"/>
      <c r="S950" s="1"/>
      <c r="T950" s="1"/>
      <c r="U950" s="24"/>
      <c r="V950" s="1"/>
      <c r="W950" s="5"/>
      <c r="X950" s="1"/>
      <c r="Y950" s="1"/>
    </row>
    <row r="951" spans="1:25" ht="12.75" x14ac:dyDescent="0.35">
      <c r="A951" s="1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5"/>
      <c r="S951" s="1"/>
      <c r="T951" s="1"/>
      <c r="U951" s="24"/>
      <c r="V951" s="1"/>
      <c r="W951" s="5"/>
      <c r="X951" s="1"/>
      <c r="Y951" s="1"/>
    </row>
    <row r="952" spans="1:25" ht="12.75" x14ac:dyDescent="0.35">
      <c r="A952" s="1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5"/>
      <c r="S952" s="1"/>
      <c r="T952" s="1"/>
      <c r="U952" s="24"/>
      <c r="V952" s="1"/>
      <c r="W952" s="5"/>
      <c r="X952" s="1"/>
      <c r="Y952" s="1"/>
    </row>
    <row r="953" spans="1:25" ht="12.75" x14ac:dyDescent="0.35">
      <c r="A953" s="1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5"/>
      <c r="S953" s="1"/>
      <c r="T953" s="1"/>
      <c r="U953" s="24"/>
      <c r="V953" s="1"/>
      <c r="W953" s="5"/>
      <c r="X953" s="1"/>
      <c r="Y953" s="1"/>
    </row>
    <row r="954" spans="1:25" ht="12.75" x14ac:dyDescent="0.35">
      <c r="A954" s="1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5"/>
      <c r="S954" s="1"/>
      <c r="T954" s="1"/>
      <c r="U954" s="24"/>
      <c r="V954" s="1"/>
      <c r="W954" s="5"/>
      <c r="X954" s="1"/>
      <c r="Y954" s="1"/>
    </row>
    <row r="955" spans="1:25" ht="12.75" x14ac:dyDescent="0.35">
      <c r="A955" s="1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5"/>
      <c r="S955" s="1"/>
      <c r="T955" s="1"/>
      <c r="U955" s="24"/>
      <c r="V955" s="1"/>
      <c r="W955" s="5"/>
      <c r="X955" s="1"/>
      <c r="Y955" s="1"/>
    </row>
    <row r="956" spans="1:25" ht="12.75" x14ac:dyDescent="0.35">
      <c r="A956" s="1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5"/>
      <c r="S956" s="1"/>
      <c r="T956" s="1"/>
      <c r="U956" s="24"/>
      <c r="V956" s="1"/>
      <c r="W956" s="5"/>
      <c r="X956" s="1"/>
      <c r="Y956" s="1"/>
    </row>
    <row r="957" spans="1:25" ht="12.75" x14ac:dyDescent="0.35">
      <c r="A957" s="1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5"/>
      <c r="S957" s="1"/>
      <c r="T957" s="1"/>
      <c r="U957" s="24"/>
      <c r="V957" s="1"/>
      <c r="W957" s="5"/>
      <c r="X957" s="1"/>
      <c r="Y957" s="1"/>
    </row>
    <row r="958" spans="1:25" ht="12.75" x14ac:dyDescent="0.35">
      <c r="A958" s="1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5"/>
      <c r="S958" s="1"/>
      <c r="T958" s="1"/>
      <c r="U958" s="24"/>
      <c r="V958" s="1"/>
      <c r="W958" s="5"/>
      <c r="X958" s="1"/>
      <c r="Y958" s="1"/>
    </row>
    <row r="959" spans="1:25" ht="12.75" x14ac:dyDescent="0.35">
      <c r="A959" s="1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5"/>
      <c r="S959" s="1"/>
      <c r="T959" s="1"/>
      <c r="U959" s="24"/>
      <c r="V959" s="1"/>
      <c r="W959" s="5"/>
      <c r="X959" s="1"/>
      <c r="Y959" s="1"/>
    </row>
    <row r="960" spans="1:25" ht="12.75" x14ac:dyDescent="0.35">
      <c r="A960" s="1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5"/>
      <c r="S960" s="1"/>
      <c r="T960" s="1"/>
      <c r="U960" s="24"/>
      <c r="V960" s="1"/>
      <c r="W960" s="5"/>
      <c r="X960" s="1"/>
      <c r="Y960" s="1"/>
    </row>
    <row r="961" spans="1:25" ht="12.75" x14ac:dyDescent="0.35">
      <c r="A961" s="1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5"/>
      <c r="S961" s="1"/>
      <c r="T961" s="1"/>
      <c r="U961" s="24"/>
      <c r="V961" s="1"/>
      <c r="W961" s="5"/>
      <c r="X961" s="1"/>
      <c r="Y961" s="1"/>
    </row>
    <row r="962" spans="1:25" ht="12.75" x14ac:dyDescent="0.35">
      <c r="A962" s="1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5"/>
      <c r="S962" s="1"/>
      <c r="T962" s="1"/>
      <c r="U962" s="24"/>
      <c r="V962" s="1"/>
      <c r="W962" s="5"/>
      <c r="X962" s="1"/>
      <c r="Y962" s="1"/>
    </row>
    <row r="963" spans="1:25" ht="12.75" x14ac:dyDescent="0.35">
      <c r="A963" s="1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5"/>
      <c r="S963" s="1"/>
      <c r="T963" s="1"/>
      <c r="U963" s="24"/>
      <c r="V963" s="1"/>
      <c r="W963" s="5"/>
      <c r="X963" s="1"/>
      <c r="Y963" s="1"/>
    </row>
    <row r="964" spans="1:25" ht="12.75" x14ac:dyDescent="0.35">
      <c r="A964" s="1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5"/>
      <c r="S964" s="1"/>
      <c r="T964" s="1"/>
      <c r="U964" s="24"/>
      <c r="V964" s="1"/>
      <c r="W964" s="5"/>
      <c r="X964" s="1"/>
      <c r="Y964" s="1"/>
    </row>
    <row r="965" spans="1:25" ht="12.75" x14ac:dyDescent="0.35">
      <c r="A965" s="1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5"/>
      <c r="S965" s="1"/>
      <c r="T965" s="1"/>
      <c r="U965" s="24"/>
      <c r="V965" s="1"/>
      <c r="W965" s="5"/>
      <c r="X965" s="1"/>
      <c r="Y965" s="1"/>
    </row>
    <row r="966" spans="1:25" ht="12.75" x14ac:dyDescent="0.35">
      <c r="A966" s="1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5"/>
      <c r="S966" s="1"/>
      <c r="T966" s="1"/>
      <c r="U966" s="24"/>
      <c r="V966" s="1"/>
      <c r="W966" s="5"/>
      <c r="X966" s="1"/>
      <c r="Y966" s="1"/>
    </row>
    <row r="967" spans="1:25" ht="12.75" x14ac:dyDescent="0.35">
      <c r="A967" s="1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5"/>
      <c r="S967" s="1"/>
      <c r="T967" s="1"/>
      <c r="U967" s="24"/>
      <c r="V967" s="1"/>
      <c r="W967" s="5"/>
      <c r="X967" s="1"/>
      <c r="Y967" s="1"/>
    </row>
    <row r="968" spans="1:25" ht="12.75" x14ac:dyDescent="0.35">
      <c r="A968" s="1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5"/>
      <c r="S968" s="1"/>
      <c r="T968" s="1"/>
      <c r="U968" s="24"/>
      <c r="V968" s="1"/>
      <c r="W968" s="5"/>
      <c r="X968" s="1"/>
      <c r="Y968" s="1"/>
    </row>
    <row r="969" spans="1:25" ht="12.75" x14ac:dyDescent="0.35">
      <c r="A969" s="1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5"/>
      <c r="S969" s="1"/>
      <c r="T969" s="1"/>
      <c r="U969" s="24"/>
      <c r="V969" s="1"/>
      <c r="W969" s="5"/>
      <c r="X969" s="1"/>
      <c r="Y969" s="1"/>
    </row>
    <row r="970" spans="1:25" ht="12.75" x14ac:dyDescent="0.35">
      <c r="A970" s="1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5"/>
      <c r="S970" s="1"/>
      <c r="T970" s="1"/>
      <c r="U970" s="24"/>
      <c r="V970" s="1"/>
      <c r="W970" s="5"/>
      <c r="X970" s="1"/>
      <c r="Y970" s="1"/>
    </row>
    <row r="971" spans="1:25" ht="12.75" x14ac:dyDescent="0.35">
      <c r="A971" s="15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5"/>
      <c r="S971" s="1"/>
      <c r="T971" s="1"/>
      <c r="U971" s="24"/>
      <c r="V971" s="1"/>
      <c r="W971" s="5"/>
      <c r="X971" s="1"/>
      <c r="Y971" s="1"/>
    </row>
    <row r="972" spans="1:25" ht="12.75" x14ac:dyDescent="0.35">
      <c r="A972" s="15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5"/>
      <c r="S972" s="1"/>
      <c r="T972" s="1"/>
      <c r="U972" s="24"/>
      <c r="V972" s="1"/>
      <c r="W972" s="5"/>
      <c r="X972" s="1"/>
      <c r="Y972" s="1"/>
    </row>
    <row r="973" spans="1:25" ht="12.75" x14ac:dyDescent="0.35">
      <c r="A973" s="15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5"/>
      <c r="S973" s="1"/>
      <c r="T973" s="1"/>
      <c r="U973" s="24"/>
      <c r="V973" s="1"/>
      <c r="W973" s="5"/>
      <c r="X973" s="1"/>
      <c r="Y973" s="1"/>
    </row>
    <row r="974" spans="1:25" ht="12.75" x14ac:dyDescent="0.35">
      <c r="A974" s="15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5"/>
      <c r="S974" s="1"/>
      <c r="T974" s="1"/>
      <c r="U974" s="24"/>
      <c r="V974" s="1"/>
      <c r="W974" s="5"/>
      <c r="X974" s="1"/>
      <c r="Y974" s="1"/>
    </row>
    <row r="975" spans="1:25" ht="12.75" x14ac:dyDescent="0.35">
      <c r="A975" s="1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5"/>
      <c r="S975" s="1"/>
      <c r="T975" s="1"/>
      <c r="U975" s="24"/>
      <c r="V975" s="1"/>
      <c r="W975" s="5"/>
      <c r="X975" s="1"/>
      <c r="Y975" s="1"/>
    </row>
    <row r="976" spans="1:25" ht="12.75" x14ac:dyDescent="0.35">
      <c r="A976" s="15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5"/>
      <c r="S976" s="1"/>
      <c r="T976" s="1"/>
      <c r="U976" s="24"/>
      <c r="V976" s="1"/>
      <c r="W976" s="5"/>
      <c r="X976" s="1"/>
      <c r="Y976" s="1"/>
    </row>
    <row r="977" spans="1:25" ht="12.75" x14ac:dyDescent="0.35">
      <c r="A977" s="1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5"/>
      <c r="S977" s="1"/>
      <c r="T977" s="1"/>
      <c r="U977" s="24"/>
      <c r="V977" s="1"/>
      <c r="W977" s="5"/>
      <c r="X977" s="1"/>
      <c r="Y977" s="1"/>
    </row>
    <row r="978" spans="1:25" ht="12.75" x14ac:dyDescent="0.35">
      <c r="A978" s="15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5"/>
      <c r="S978" s="1"/>
      <c r="T978" s="1"/>
      <c r="U978" s="24"/>
      <c r="V978" s="1"/>
      <c r="W978" s="5"/>
      <c r="X978" s="1"/>
      <c r="Y978" s="1"/>
    </row>
    <row r="979" spans="1:25" ht="12.75" x14ac:dyDescent="0.35">
      <c r="A979" s="15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5"/>
      <c r="S979" s="1"/>
      <c r="T979" s="1"/>
      <c r="U979" s="24"/>
      <c r="V979" s="1"/>
      <c r="W979" s="5"/>
      <c r="X979" s="1"/>
      <c r="Y979" s="1"/>
    </row>
    <row r="980" spans="1:25" ht="12.75" x14ac:dyDescent="0.35">
      <c r="A980" s="15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5"/>
      <c r="S980" s="1"/>
      <c r="T980" s="1"/>
      <c r="U980" s="24"/>
      <c r="V980" s="1"/>
      <c r="W980" s="5"/>
      <c r="X980" s="1"/>
      <c r="Y980" s="1"/>
    </row>
    <row r="981" spans="1:25" ht="12.75" x14ac:dyDescent="0.35">
      <c r="A981" s="15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5"/>
      <c r="S981" s="1"/>
      <c r="T981" s="1"/>
      <c r="U981" s="24"/>
      <c r="V981" s="1"/>
      <c r="W981" s="5"/>
      <c r="X981" s="1"/>
      <c r="Y981" s="1"/>
    </row>
    <row r="982" spans="1:25" ht="12.75" x14ac:dyDescent="0.35">
      <c r="A982" s="15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5"/>
      <c r="S982" s="1"/>
      <c r="T982" s="1"/>
      <c r="U982" s="24"/>
      <c r="V982" s="1"/>
      <c r="W982" s="5"/>
      <c r="X982" s="1"/>
      <c r="Y982" s="1"/>
    </row>
    <row r="983" spans="1:25" ht="12.75" x14ac:dyDescent="0.35">
      <c r="A983" s="15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5"/>
      <c r="S983" s="1"/>
      <c r="T983" s="1"/>
      <c r="U983" s="24"/>
      <c r="V983" s="1"/>
      <c r="W983" s="5"/>
      <c r="X983" s="1"/>
      <c r="Y983" s="1"/>
    </row>
    <row r="984" spans="1:25" ht="12.75" x14ac:dyDescent="0.35">
      <c r="A984" s="15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5"/>
      <c r="S984" s="1"/>
      <c r="T984" s="1"/>
      <c r="U984" s="24"/>
      <c r="V984" s="1"/>
      <c r="W984" s="5"/>
      <c r="X984" s="1"/>
      <c r="Y984" s="1"/>
    </row>
    <row r="985" spans="1:25" ht="12.75" x14ac:dyDescent="0.35">
      <c r="A985" s="1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5"/>
      <c r="S985" s="1"/>
      <c r="T985" s="1"/>
      <c r="U985" s="24"/>
      <c r="V985" s="1"/>
      <c r="W985" s="5"/>
      <c r="X985" s="1"/>
      <c r="Y985" s="1"/>
    </row>
    <row r="986" spans="1:25" ht="12.75" x14ac:dyDescent="0.35">
      <c r="A986" s="15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5"/>
      <c r="S986" s="1"/>
      <c r="T986" s="1"/>
      <c r="U986" s="24"/>
      <c r="V986" s="1"/>
      <c r="W986" s="5"/>
      <c r="X986" s="1"/>
      <c r="Y986" s="1"/>
    </row>
    <row r="987" spans="1:25" ht="12.75" x14ac:dyDescent="0.35">
      <c r="A987" s="15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5"/>
      <c r="S987" s="1"/>
      <c r="T987" s="1"/>
      <c r="U987" s="24"/>
      <c r="V987" s="1"/>
      <c r="W987" s="5"/>
      <c r="X987" s="1"/>
      <c r="Y987" s="1"/>
    </row>
    <row r="988" spans="1:25" ht="12.75" x14ac:dyDescent="0.35">
      <c r="A988" s="15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5"/>
      <c r="S988" s="1"/>
      <c r="T988" s="1"/>
      <c r="U988" s="24"/>
      <c r="V988" s="1"/>
      <c r="W988" s="5"/>
      <c r="X988" s="1"/>
      <c r="Y988" s="1"/>
    </row>
    <row r="989" spans="1:25" ht="12.75" x14ac:dyDescent="0.35">
      <c r="A989" s="15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5"/>
      <c r="S989" s="1"/>
      <c r="T989" s="1"/>
      <c r="U989" s="24"/>
      <c r="V989" s="1"/>
      <c r="W989" s="5"/>
      <c r="X989" s="1"/>
      <c r="Y989" s="1"/>
    </row>
    <row r="990" spans="1:25" ht="12.75" x14ac:dyDescent="0.35">
      <c r="A990" s="15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5"/>
      <c r="S990" s="1"/>
      <c r="T990" s="1"/>
      <c r="U990" s="24"/>
      <c r="V990" s="1"/>
      <c r="W990" s="5"/>
      <c r="X990" s="1"/>
      <c r="Y990" s="1"/>
    </row>
    <row r="991" spans="1:25" ht="12.75" x14ac:dyDescent="0.35">
      <c r="A991" s="15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5"/>
      <c r="S991" s="1"/>
      <c r="T991" s="1"/>
      <c r="U991" s="24"/>
      <c r="V991" s="1"/>
      <c r="W991" s="5"/>
      <c r="X991" s="1"/>
      <c r="Y991" s="1"/>
    </row>
    <row r="992" spans="1:25" ht="12.75" x14ac:dyDescent="0.35">
      <c r="A992" s="15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5"/>
      <c r="S992" s="1"/>
      <c r="T992" s="1"/>
      <c r="U992" s="24"/>
      <c r="V992" s="1"/>
      <c r="W992" s="5"/>
      <c r="X992" s="1"/>
      <c r="Y992" s="1"/>
    </row>
    <row r="993" spans="1:25" ht="12.75" x14ac:dyDescent="0.35">
      <c r="A993" s="1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5"/>
      <c r="S993" s="1"/>
      <c r="T993" s="1"/>
      <c r="U993" s="24"/>
      <c r="V993" s="1"/>
      <c r="W993" s="5"/>
      <c r="X993" s="1"/>
      <c r="Y993" s="1"/>
    </row>
    <row r="994" spans="1:25" ht="12.75" x14ac:dyDescent="0.35">
      <c r="A994" s="15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5"/>
      <c r="S994" s="1"/>
      <c r="T994" s="1"/>
      <c r="U994" s="24"/>
      <c r="V994" s="1"/>
      <c r="W994" s="5"/>
      <c r="X994" s="1"/>
      <c r="Y994" s="1"/>
    </row>
    <row r="995" spans="1:25" ht="12.75" x14ac:dyDescent="0.35">
      <c r="A995" s="1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5"/>
      <c r="S995" s="1"/>
      <c r="T995" s="1"/>
      <c r="U995" s="24"/>
      <c r="V995" s="1"/>
      <c r="W995" s="5"/>
      <c r="X995" s="1"/>
      <c r="Y995" s="1"/>
    </row>
    <row r="996" spans="1:25" ht="12.75" x14ac:dyDescent="0.35">
      <c r="A996" s="15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5"/>
      <c r="S996" s="1"/>
      <c r="T996" s="1"/>
      <c r="U996" s="24"/>
      <c r="V996" s="1"/>
      <c r="W996" s="5"/>
      <c r="X996" s="1"/>
      <c r="Y996" s="1"/>
    </row>
    <row r="997" spans="1:25" ht="12.75" x14ac:dyDescent="0.35">
      <c r="A997" s="1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5"/>
      <c r="S997" s="1"/>
      <c r="T997" s="1"/>
      <c r="U997" s="24"/>
      <c r="V997" s="1"/>
      <c r="W997" s="5"/>
      <c r="X997" s="1"/>
      <c r="Y997" s="1"/>
    </row>
    <row r="998" spans="1:25" ht="12.75" x14ac:dyDescent="0.35">
      <c r="A998" s="15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5"/>
      <c r="S998" s="1"/>
      <c r="T998" s="1"/>
      <c r="U998" s="24"/>
      <c r="V998" s="1"/>
      <c r="W998" s="5"/>
      <c r="X998" s="1"/>
      <c r="Y998" s="1"/>
    </row>
    <row r="999" spans="1:25" ht="12.75" x14ac:dyDescent="0.35">
      <c r="A999" s="15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5"/>
      <c r="S999" s="1"/>
      <c r="T999" s="1"/>
      <c r="U999" s="24"/>
      <c r="V999" s="1"/>
      <c r="W999" s="5"/>
      <c r="X999" s="1"/>
      <c r="Y999" s="1"/>
    </row>
    <row r="1000" spans="1:25" ht="12.75" x14ac:dyDescent="0.35">
      <c r="A1000" s="15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5"/>
      <c r="S1000" s="1"/>
      <c r="T1000" s="1"/>
      <c r="U1000" s="24"/>
      <c r="V1000" s="1"/>
      <c r="W1000" s="5"/>
      <c r="X1000" s="1"/>
      <c r="Y1000" s="1"/>
    </row>
    <row r="1001" spans="1:25" ht="12.75" x14ac:dyDescent="0.35">
      <c r="A1001" s="15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5"/>
      <c r="S1001" s="1"/>
      <c r="T1001" s="1"/>
      <c r="U1001" s="24"/>
      <c r="V1001" s="1"/>
      <c r="W1001" s="5"/>
      <c r="X1001" s="1"/>
      <c r="Y1001" s="1"/>
    </row>
    <row r="1002" spans="1:25" ht="12.75" x14ac:dyDescent="0.35">
      <c r="A1002" s="15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5"/>
      <c r="S1002" s="1"/>
      <c r="T1002" s="1"/>
      <c r="U1002" s="24"/>
      <c r="V1002" s="1"/>
      <c r="W1002" s="5"/>
      <c r="X1002" s="1"/>
      <c r="Y1002" s="1"/>
    </row>
    <row r="1003" spans="1:25" ht="12.75" x14ac:dyDescent="0.35">
      <c r="A1003" s="15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5"/>
      <c r="S1003" s="1"/>
      <c r="T1003" s="1"/>
      <c r="U1003" s="24"/>
      <c r="V1003" s="1"/>
      <c r="W1003" s="5"/>
      <c r="X1003" s="1"/>
      <c r="Y1003" s="1"/>
    </row>
    <row r="1004" spans="1:25" ht="12.75" x14ac:dyDescent="0.35">
      <c r="A1004" s="15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5"/>
      <c r="S1004" s="1"/>
      <c r="T1004" s="1"/>
      <c r="U1004" s="24"/>
      <c r="V1004" s="1"/>
      <c r="W1004" s="5"/>
      <c r="X1004" s="1"/>
      <c r="Y1004" s="1"/>
    </row>
    <row r="1005" spans="1:25" ht="12.75" x14ac:dyDescent="0.35">
      <c r="A1005" s="15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5"/>
      <c r="S1005" s="1"/>
      <c r="T1005" s="1"/>
      <c r="U1005" s="24"/>
      <c r="V1005" s="1"/>
      <c r="W1005" s="5"/>
      <c r="X1005" s="1"/>
      <c r="Y1005" s="1"/>
    </row>
    <row r="1006" spans="1:25" ht="12.75" x14ac:dyDescent="0.35">
      <c r="A1006" s="15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5"/>
      <c r="S1006" s="1"/>
      <c r="T1006" s="1"/>
      <c r="U1006" s="24"/>
      <c r="V1006" s="1"/>
      <c r="W1006" s="5"/>
      <c r="X1006" s="1"/>
      <c r="Y1006" s="1"/>
    </row>
    <row r="1007" spans="1:25" ht="12.75" x14ac:dyDescent="0.35">
      <c r="A1007" s="15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5"/>
      <c r="S1007" s="1"/>
      <c r="T1007" s="1"/>
      <c r="U1007" s="24"/>
      <c r="V1007" s="1"/>
      <c r="W1007" s="5"/>
      <c r="X1007" s="1"/>
      <c r="Y1007" s="1"/>
    </row>
    <row r="1008" spans="1:25" ht="12.75" x14ac:dyDescent="0.35">
      <c r="A1008" s="15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5"/>
      <c r="S1008" s="1"/>
      <c r="T1008" s="1"/>
      <c r="U1008" s="24"/>
      <c r="V1008" s="1"/>
      <c r="W1008" s="5"/>
      <c r="X1008" s="1"/>
      <c r="Y1008" s="1"/>
    </row>
    <row r="1009" spans="1:25" ht="12.75" x14ac:dyDescent="0.35">
      <c r="A1009" s="15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5"/>
      <c r="S1009" s="1"/>
      <c r="T1009" s="1"/>
      <c r="U1009" s="24"/>
      <c r="V1009" s="1"/>
      <c r="W1009" s="5"/>
      <c r="X1009" s="1"/>
      <c r="Y1009" s="1"/>
    </row>
    <row r="1010" spans="1:25" ht="12.75" x14ac:dyDescent="0.35">
      <c r="A1010" s="15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5"/>
      <c r="S1010" s="1"/>
      <c r="T1010" s="1"/>
      <c r="U1010" s="24"/>
      <c r="V1010" s="1"/>
      <c r="W1010" s="5"/>
      <c r="X1010" s="1"/>
      <c r="Y1010" s="1"/>
    </row>
    <row r="1011" spans="1:25" ht="12.75" x14ac:dyDescent="0.35">
      <c r="A1011" s="15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5"/>
      <c r="S1011" s="1"/>
      <c r="T1011" s="1"/>
      <c r="U1011" s="24"/>
      <c r="V1011" s="1"/>
      <c r="W1011" s="5"/>
      <c r="X1011" s="1"/>
      <c r="Y1011" s="1"/>
    </row>
  </sheetData>
  <customSheetViews>
    <customSheetView guid="{857A60D0-0299-4BDC-9555-508E73A4A88F}" filter="1" showAutoFilter="1">
      <pageMargins left="0.7" right="0.7" top="0.75" bottom="0.75" header="0.3" footer="0.3"/>
      <autoFilter ref="H13:H78" xr:uid="{0EBDC3A7-6A50-4907-A50B-BC6699642A50}">
        <filterColumn colId="0">
          <filters>
            <filter val="12204"/>
            <filter val="13850"/>
            <filter val="14895"/>
            <filter val="18954"/>
            <filter val="18966"/>
            <filter val="21074"/>
            <filter val="21076"/>
            <filter val="21117"/>
            <filter val="21202"/>
            <filter val="21230"/>
            <filter val="27215"/>
            <filter val="2745"/>
            <filter val="28301"/>
            <filter val="30135"/>
            <filter val="30340"/>
            <filter val="31701"/>
            <filter val="32937"/>
            <filter val="37211"/>
            <filter val="37388"/>
            <filter val="44103"/>
            <filter val="44122"/>
            <filter val="44142"/>
            <filter val="44805"/>
            <filter val="53715"/>
            <filter val="54301"/>
            <filter val="55337"/>
            <filter val="58102"/>
            <filter val="60004"/>
            <filter val="60007"/>
            <filter val="60008"/>
            <filter val="60201"/>
            <filter val="60638"/>
            <filter val="64504"/>
            <filter val="67410"/>
            <filter val="68124"/>
            <filter val="75062"/>
            <filter val="75150"/>
            <filter val="75207"/>
            <filter val="7601"/>
            <filter val="7652"/>
            <filter val="77840"/>
            <filter val="78204"/>
            <filter val="8002"/>
            <filter val="80110"/>
            <filter val="80126"/>
            <filter val="80216"/>
            <filter val="80231"/>
            <filter val="80937"/>
            <filter val="8201"/>
            <filter val="83709"/>
            <filter val="8402"/>
            <filter val="88011"/>
            <filter val="88101"/>
            <filter val="89701"/>
            <filter val="94520"/>
            <filter val="94545"/>
            <filter val="94561"/>
            <filter val="94606"/>
            <filter val="94710"/>
            <filter val="99352"/>
            <filter val="99501"/>
            <filter val="99515"/>
          </filters>
        </filterColumn>
      </autoFilter>
    </customSheetView>
    <customSheetView guid="{FEA06CF7-D256-4314-8A59-3BE2DD4AF49D}" filter="1" showAutoFilter="1">
      <pageMargins left="0.7" right="0.7" top="0.75" bottom="0.75" header="0.3" footer="0.3"/>
      <autoFilter ref="A13:G148" xr:uid="{697FACC9-12D9-4546-A635-C5AD1A8DC1DD}"/>
    </customSheetView>
    <customSheetView guid="{E25FD886-9254-4DA0-9D09-EE60A76E4B3D}" filter="1" showAutoFilter="1">
      <pageMargins left="0.7" right="0.7" top="0.75" bottom="0.75" header="0.3" footer="0.3"/>
      <autoFilter ref="A13:G1011" xr:uid="{152B622B-2CF4-445C-9A33-4164F258235D}">
        <filterColumn colId="3">
          <filters blank="1">
            <filter val="A R Packaging"/>
            <filter val="Acme Supply Co"/>
            <filter val="Advantage Martgage Company"/>
            <filter val="Anchorage Museum Of Hist &amp; Art"/>
            <filter val="Baird Kurtz &amp; Dobson"/>
            <filter val="Ballard Spahr Andrews"/>
            <filter val="Black History Resource Center"/>
            <filter val="Bradley Nameplate Corp"/>
            <filter val="Bresler Eitel Framg Gllry Ltd"/>
            <filter val="Cangro Transmission Co"/>
            <filter val="Carriage House Cllsn Rpr Inc"/>
            <filter val="Cascade Realty Advisors Inc"/>
            <filter val="Century 21 Krall Real Estate"/>
            <filter val="Comfort Inn"/>
            <filter val="Courtyard By Marriott"/>
            <filter val="Del Charro Apartments"/>
            <filter val="Desco Equipment Corp"/>
            <filter val="Di Cristina J &amp; Son"/>
            <filter val="E A I Electronic Assocs Inc"/>
            <filter val="Eagle Software Inc"/>
            <filter val="Earnhardt Printing"/>
            <filter val="Eder Assocs Consltng Engrs Pc"/>
            <filter val="Edison Supply &amp; Equipment Co"/>
            <filter val="Edward S Katz"/>
            <filter val="Fbs Business Finance"/>
            <filter val="Feltz Printing Service"/>
            <filter val="Fresno Tile Center Inc"/>
            <filter val="Garrison Ind"/>
            <filter val="General Foam Corporation"/>
            <filter val="Geonex Martel Inc"/>
            <filter val="George Jessop Carter Jewelers"/>
            <filter val="Goeman Wood Products Inc"/>
            <filter val="H A C Farm Lines Co Optv Assoc"/>
            <filter val="H Lee Leonard Attorney At Law"/>
            <filter val="Harris Corporation"/>
            <filter val="Hawaiian King Hotel"/>
            <filter val="Honey Bee Breeding Genetics &amp;"/>
            <filter val="Icn Pharmaceuticals Inc"/>
            <filter val="Inner Label"/>
            <filter val="Italian Express Franchise Corp"/>
            <filter val="Jackson Millwork Co"/>
            <filter val="Jets Cybernetics"/>
            <filter val="Judah Caster &amp; Wheel Co"/>
            <filter val="Juno Chefs Incorporated"/>
            <filter val="Juvenile &amp; Adult Super"/>
            <filter val="Knights Inn"/>
            <filter val="Kwik Kopy Printing"/>
            <filter val="Kwikprint"/>
            <filter val="Larkfield Photo"/>
            <filter val="Linguistic Systems Inc"/>
            <filter val="Little Sheet Metal Co"/>
            <filter val="Local Office"/>
            <filter val="Mark Ii Imports Inc"/>
            <filter val="Mark Iv Press Ltd"/>
            <filter val="Mayar Silk Inc"/>
            <filter val="Mcglynn Bliss Pc"/>
            <filter val="Megibow &amp; Edwards"/>
            <filter val="Morlong Associates"/>
            <filter val="Nelson Hawaiian Ltd"/>
            <filter val="New York Life John Thune"/>
            <filter val="Ninas Indian Grs &amp; Videos"/>
            <filter val="North Central Fl Sfty Cncl"/>
            <filter val="Pacific Grove Museum Ntrl Hist"/>
            <filter val="Payne Blades &amp; Wellborn Pa"/>
            <filter val="Plantation Restaurant"/>
            <filter val="Portland Central Thriftlodge"/>
            <filter val="Porto Cayo At Hawks Cay"/>
            <filter val="Price Business Services"/>
            <filter val="Print Doctor"/>
            <filter val="Printing Dimensions"/>
            <filter val="Printing Images Corp"/>
            <filter val="Private Properties"/>
            <filter val="Q A Service"/>
            <filter val="Reese Plastics"/>
            <filter val="Replica I"/>
            <filter val="Royal Pontiac Olds Inc"/>
            <filter val="Santa Cruz Community Internet"/>
            <filter val="Service Supply Co Inc"/>
            <filter val="Sigma Corp Of America"/>
            <filter val="Simonton Howe &amp; Schneider Pc"/>
            <filter val="Smc Inc"/>
            <filter val="Spoor Behrins Campbell &amp; Young"/>
            <filter val="Sport En Art"/>
            <filter val="Springfield Div Oh Edison Co"/>
            <filter val="Students In Free Entrprs Natl"/>
            <filter val="Super 8 Motel"/>
            <filter val="Switchcraft Inc"/>
            <filter val="Tri M Tool Inc"/>
            <filter val="Tyee Productions Inc"/>
            <filter val="United Oil Co Inc"/>
            <filter val="Vico Products Mfg Co"/>
            <filter val="Vicon Corporation"/>
            <filter val="Warner Electric Brk &amp; Cltch Co"/>
            <filter val="Womack &amp; Galich"/>
          </filters>
        </filterColumn>
        <sortState xmlns:xlrd2="http://schemas.microsoft.com/office/spreadsheetml/2017/richdata2" ref="A13:G1011">
          <sortCondition ref="A13:A1011"/>
        </sortState>
      </autoFilter>
    </customSheetView>
    <customSheetView guid="{1A5624DA-590F-47E6-9C14-A8D9D8A4F040}" filter="1" showAutoFilter="1">
      <pageMargins left="0.7" right="0.7" top="0.75" bottom="0.75" header="0.3" footer="0.3"/>
      <autoFilter ref="E6" xr:uid="{9D8650E4-E046-4945-95A2-99C0A3691086}"/>
    </customSheetView>
  </customSheetView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workbookViewId="0">
      <selection activeCell="N2" sqref="N2"/>
    </sheetView>
  </sheetViews>
  <sheetFormatPr defaultColWidth="12.59765625" defaultRowHeight="15.75" customHeight="1" x14ac:dyDescent="0.35"/>
  <cols>
    <col min="1" max="1" width="10" customWidth="1"/>
    <col min="2" max="2" width="13.46484375" customWidth="1"/>
    <col min="3" max="3" width="9.3984375" customWidth="1"/>
    <col min="4" max="4" width="13.06640625" bestFit="1" customWidth="1"/>
    <col min="5" max="5" width="15.73046875" customWidth="1"/>
    <col min="6" max="6" width="19.1328125" customWidth="1"/>
    <col min="7" max="7" width="15" customWidth="1"/>
    <col min="8" max="8" width="16.33203125" customWidth="1"/>
    <col min="9" max="9" width="14.86328125" customWidth="1"/>
    <col min="10" max="10" width="10.265625" customWidth="1"/>
    <col min="11" max="11" width="12.46484375" customWidth="1"/>
    <col min="12" max="12" width="12.33203125" customWidth="1"/>
    <col min="13" max="13" width="13.1328125" customWidth="1"/>
    <col min="14" max="14" width="14.1328125" customWidth="1"/>
    <col min="15" max="15" width="14.06640625" bestFit="1" customWidth="1"/>
    <col min="16" max="16" width="16.53125" customWidth="1"/>
    <col min="17" max="17" width="10" customWidth="1"/>
  </cols>
  <sheetData>
    <row r="1" spans="1:23" ht="15.75" customHeight="1" x14ac:dyDescent="0.4">
      <c r="A1" s="2" t="s">
        <v>1</v>
      </c>
      <c r="B1" s="2" t="s">
        <v>2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12</v>
      </c>
      <c r="H1" s="2" t="s">
        <v>14</v>
      </c>
      <c r="I1" s="2" t="s">
        <v>16</v>
      </c>
      <c r="J1" s="2" t="s">
        <v>18</v>
      </c>
      <c r="K1" s="2" t="s">
        <v>20</v>
      </c>
      <c r="L1" s="2" t="s">
        <v>23</v>
      </c>
      <c r="M1" s="2" t="s">
        <v>25</v>
      </c>
      <c r="N1" s="2" t="s">
        <v>28</v>
      </c>
      <c r="O1" s="3" t="s">
        <v>32</v>
      </c>
      <c r="P1" s="2" t="s">
        <v>39</v>
      </c>
      <c r="Q1" s="2" t="s">
        <v>42</v>
      </c>
      <c r="R1" s="4"/>
      <c r="S1" s="4"/>
      <c r="T1" s="4"/>
      <c r="U1" s="4"/>
      <c r="V1" s="4"/>
      <c r="W1" s="4"/>
    </row>
    <row r="2" spans="1:23" ht="12.75" x14ac:dyDescent="0.35">
      <c r="A2" s="1">
        <v>1182</v>
      </c>
      <c r="B2" s="1">
        <v>1</v>
      </c>
      <c r="C2" s="1">
        <v>2016</v>
      </c>
      <c r="D2" s="1" t="s">
        <v>61</v>
      </c>
      <c r="E2" s="1" t="s">
        <v>64</v>
      </c>
      <c r="F2" s="1">
        <v>42.66</v>
      </c>
      <c r="G2" s="1">
        <v>5.4</v>
      </c>
      <c r="H2" s="1">
        <v>300</v>
      </c>
      <c r="I2" s="1">
        <v>119</v>
      </c>
      <c r="J2" s="1">
        <v>79.900000000000006</v>
      </c>
      <c r="K2" s="1">
        <v>204.8</v>
      </c>
      <c r="L2" s="1">
        <v>5.3929999999999998</v>
      </c>
      <c r="M2" s="1">
        <v>30</v>
      </c>
      <c r="N2" s="1">
        <v>15</v>
      </c>
      <c r="O2" s="5">
        <v>44918</v>
      </c>
      <c r="P2" s="1">
        <v>123.97204670000001</v>
      </c>
      <c r="Q2" s="1">
        <v>68385</v>
      </c>
    </row>
    <row r="3" spans="1:23" ht="12.75" x14ac:dyDescent="0.35">
      <c r="A3" s="1">
        <v>1144</v>
      </c>
      <c r="B3" s="1">
        <v>1</v>
      </c>
      <c r="C3" s="1">
        <v>2008</v>
      </c>
      <c r="D3" s="1" t="s">
        <v>83</v>
      </c>
      <c r="E3" s="1" t="s">
        <v>85</v>
      </c>
      <c r="F3" s="1">
        <v>25.344999999999999</v>
      </c>
      <c r="G3" s="1">
        <v>3.4</v>
      </c>
      <c r="H3" s="1">
        <v>185</v>
      </c>
      <c r="I3" s="1">
        <v>120</v>
      </c>
      <c r="J3" s="1">
        <v>72.2</v>
      </c>
      <c r="K3" s="1">
        <v>201.4</v>
      </c>
      <c r="L3" s="1">
        <v>3.948</v>
      </c>
      <c r="M3" s="1">
        <v>25</v>
      </c>
      <c r="N3" s="1">
        <v>22</v>
      </c>
      <c r="O3" s="5">
        <v>42180</v>
      </c>
      <c r="P3" s="1">
        <v>76.096570420000006</v>
      </c>
      <c r="Q3" s="1">
        <v>251435</v>
      </c>
    </row>
    <row r="4" spans="1:23" ht="12.75" x14ac:dyDescent="0.35">
      <c r="A4" s="1">
        <v>1180</v>
      </c>
      <c r="B4" s="1">
        <v>1</v>
      </c>
      <c r="C4" s="1">
        <v>2020</v>
      </c>
      <c r="D4" s="1" t="s">
        <v>91</v>
      </c>
      <c r="E4" s="1" t="s">
        <v>92</v>
      </c>
      <c r="F4" s="1">
        <v>22.504999999999999</v>
      </c>
      <c r="G4" s="1">
        <v>2.7</v>
      </c>
      <c r="H4" s="1">
        <v>202</v>
      </c>
      <c r="I4" s="1">
        <v>113</v>
      </c>
      <c r="J4" s="1">
        <v>74.7</v>
      </c>
      <c r="K4" s="1">
        <v>203.7</v>
      </c>
      <c r="L4" s="1">
        <v>3.4889999999999999</v>
      </c>
      <c r="M4" s="1">
        <v>17</v>
      </c>
      <c r="N4" s="1"/>
      <c r="O4" s="5">
        <v>45079</v>
      </c>
      <c r="P4" s="1">
        <v>80.831470170000003</v>
      </c>
      <c r="Q4" s="1">
        <v>247285</v>
      </c>
    </row>
    <row r="5" spans="1:23" ht="12.75" x14ac:dyDescent="0.35">
      <c r="A5" s="1">
        <v>1064</v>
      </c>
      <c r="B5" s="1">
        <v>1</v>
      </c>
      <c r="C5" s="1">
        <v>2007</v>
      </c>
      <c r="D5" s="1" t="s">
        <v>97</v>
      </c>
      <c r="E5" s="1" t="s">
        <v>98</v>
      </c>
      <c r="F5" s="1">
        <v>24.4</v>
      </c>
      <c r="G5" s="1">
        <v>1.9</v>
      </c>
      <c r="H5" s="1">
        <v>160</v>
      </c>
      <c r="I5" s="1">
        <v>100.5</v>
      </c>
      <c r="J5" s="1">
        <v>67.599999999999994</v>
      </c>
      <c r="K5" s="1">
        <v>176.6</v>
      </c>
      <c r="L5" s="1">
        <v>3.0419999999999998</v>
      </c>
      <c r="M5" s="1">
        <v>15.8</v>
      </c>
      <c r="N5" s="1">
        <v>25</v>
      </c>
      <c r="O5" s="5">
        <v>42268</v>
      </c>
      <c r="P5" s="1">
        <v>66.498812299999997</v>
      </c>
      <c r="Q5" s="1">
        <v>81801</v>
      </c>
    </row>
    <row r="6" spans="1:23" ht="12.75" x14ac:dyDescent="0.35">
      <c r="A6" s="1">
        <v>1032</v>
      </c>
      <c r="B6" s="1">
        <v>1</v>
      </c>
      <c r="C6" s="1">
        <v>2002</v>
      </c>
      <c r="D6" s="1" t="s">
        <v>115</v>
      </c>
      <c r="E6" s="1" t="s">
        <v>117</v>
      </c>
      <c r="F6" s="1">
        <v>17.5</v>
      </c>
      <c r="G6" s="1">
        <v>2</v>
      </c>
      <c r="H6" s="1">
        <v>115</v>
      </c>
      <c r="I6" s="1">
        <v>98.9</v>
      </c>
      <c r="J6" s="1">
        <v>68.3</v>
      </c>
      <c r="K6" s="1">
        <v>163.30000000000001</v>
      </c>
      <c r="L6" s="1">
        <v>2.762</v>
      </c>
      <c r="M6" s="1">
        <v>14.6</v>
      </c>
      <c r="N6" s="1">
        <v>26</v>
      </c>
      <c r="O6" s="5">
        <v>40269</v>
      </c>
      <c r="P6" s="1">
        <v>47.946841059999997</v>
      </c>
      <c r="Q6" s="1">
        <v>178102</v>
      </c>
    </row>
    <row r="7" spans="1:23" ht="12.75" x14ac:dyDescent="0.35">
      <c r="A7" s="1">
        <v>1484</v>
      </c>
      <c r="B7" s="1">
        <v>1</v>
      </c>
      <c r="C7" s="1">
        <v>2017</v>
      </c>
      <c r="D7" s="1" t="s">
        <v>83</v>
      </c>
      <c r="E7" s="1" t="s">
        <v>129</v>
      </c>
      <c r="F7" s="1">
        <v>36.228999999999999</v>
      </c>
      <c r="G7" s="1">
        <v>4</v>
      </c>
      <c r="H7" s="1">
        <v>250</v>
      </c>
      <c r="I7" s="1">
        <v>113.8</v>
      </c>
      <c r="J7" s="1">
        <v>74.400000000000006</v>
      </c>
      <c r="K7" s="1">
        <v>205.4</v>
      </c>
      <c r="L7" s="1">
        <v>3.9670000000000001</v>
      </c>
      <c r="M7" s="1">
        <v>18.5</v>
      </c>
      <c r="N7" s="1">
        <v>22</v>
      </c>
      <c r="O7" s="5">
        <v>43879</v>
      </c>
      <c r="P7" s="1">
        <v>103.4416926</v>
      </c>
      <c r="Q7" s="1">
        <v>94315</v>
      </c>
    </row>
    <row r="8" spans="1:23" ht="12.75" x14ac:dyDescent="0.35">
      <c r="A8" s="1">
        <v>1396</v>
      </c>
      <c r="B8" s="1">
        <v>1</v>
      </c>
      <c r="C8" s="1">
        <v>2011</v>
      </c>
      <c r="D8" s="1" t="s">
        <v>142</v>
      </c>
      <c r="E8" s="1" t="s">
        <v>144</v>
      </c>
      <c r="F8" s="1">
        <v>9.2349999999999994</v>
      </c>
      <c r="G8" s="1">
        <v>1</v>
      </c>
      <c r="H8" s="1">
        <v>55</v>
      </c>
      <c r="I8" s="1">
        <v>93.1</v>
      </c>
      <c r="J8" s="1">
        <v>62.6</v>
      </c>
      <c r="K8" s="1">
        <v>149.4</v>
      </c>
      <c r="L8" s="1">
        <v>1.895</v>
      </c>
      <c r="M8" s="1">
        <v>10.3</v>
      </c>
      <c r="N8" s="1">
        <v>45</v>
      </c>
      <c r="O8" s="5">
        <v>41742</v>
      </c>
      <c r="P8" s="1">
        <v>23.276272330000001</v>
      </c>
      <c r="Q8" s="1">
        <v>198865</v>
      </c>
    </row>
    <row r="9" spans="1:23" ht="12.75" x14ac:dyDescent="0.35">
      <c r="A9" s="1">
        <v>1146</v>
      </c>
      <c r="B9" s="1">
        <v>1</v>
      </c>
      <c r="C9" s="1">
        <v>2020</v>
      </c>
      <c r="D9" s="1" t="s">
        <v>157</v>
      </c>
      <c r="E9" s="1" t="s">
        <v>159</v>
      </c>
      <c r="F9" s="1">
        <v>11.798999999999999</v>
      </c>
      <c r="G9" s="1">
        <v>2</v>
      </c>
      <c r="H9" s="1">
        <v>140</v>
      </c>
      <c r="I9" s="1">
        <v>100.4</v>
      </c>
      <c r="J9" s="1">
        <v>66.900000000000006</v>
      </c>
      <c r="K9" s="1">
        <v>174</v>
      </c>
      <c r="L9" s="1">
        <v>2.6259999999999999</v>
      </c>
      <c r="M9" s="1">
        <v>14.5</v>
      </c>
      <c r="N9" s="1">
        <v>27</v>
      </c>
      <c r="O9" s="5">
        <v>45245</v>
      </c>
      <c r="P9" s="1">
        <v>54.590045160000003</v>
      </c>
      <c r="Q9" s="1">
        <v>170933</v>
      </c>
    </row>
    <row r="10" spans="1:23" ht="12.75" x14ac:dyDescent="0.35">
      <c r="A10" s="1">
        <v>1064</v>
      </c>
      <c r="B10" s="1">
        <v>2</v>
      </c>
      <c r="C10" s="1">
        <v>2011</v>
      </c>
      <c r="D10" s="1" t="s">
        <v>175</v>
      </c>
      <c r="E10" s="1">
        <v>44807</v>
      </c>
      <c r="F10" s="1">
        <v>26.1</v>
      </c>
      <c r="G10" s="1">
        <v>2</v>
      </c>
      <c r="H10" s="1">
        <v>185</v>
      </c>
      <c r="I10" s="1">
        <v>102.6</v>
      </c>
      <c r="J10" s="1">
        <v>67.400000000000006</v>
      </c>
      <c r="K10" s="1">
        <v>182.2</v>
      </c>
      <c r="L10" s="1">
        <v>2.99</v>
      </c>
      <c r="M10" s="1">
        <v>16.899999999999999</v>
      </c>
      <c r="N10" s="1">
        <v>23</v>
      </c>
      <c r="O10" s="5">
        <v>41802</v>
      </c>
      <c r="P10" s="1">
        <v>76.02304771</v>
      </c>
      <c r="Q10" s="1">
        <v>273164</v>
      </c>
    </row>
    <row r="11" spans="1:23" ht="12.75" x14ac:dyDescent="0.35">
      <c r="A11" s="1">
        <v>1435</v>
      </c>
      <c r="B11" s="1">
        <v>1</v>
      </c>
      <c r="C11" s="1">
        <v>2014</v>
      </c>
      <c r="D11" s="1" t="s">
        <v>191</v>
      </c>
      <c r="E11" s="1" t="s">
        <v>194</v>
      </c>
      <c r="F11" s="1">
        <v>13.108000000000001</v>
      </c>
      <c r="G11" s="1">
        <v>1.8</v>
      </c>
      <c r="H11" s="1">
        <v>120</v>
      </c>
      <c r="I11" s="1">
        <v>97</v>
      </c>
      <c r="J11" s="1">
        <v>66.7</v>
      </c>
      <c r="K11" s="1">
        <v>174</v>
      </c>
      <c r="L11" s="1">
        <v>2.42</v>
      </c>
      <c r="M11" s="1">
        <v>13.2</v>
      </c>
      <c r="N11" s="1">
        <v>33</v>
      </c>
      <c r="O11" s="5">
        <v>43932</v>
      </c>
      <c r="P11" s="1">
        <v>47.96897242</v>
      </c>
      <c r="Q11" s="1">
        <v>292400</v>
      </c>
    </row>
    <row r="12" spans="1:23" ht="12.75" x14ac:dyDescent="0.35">
      <c r="A12" s="1">
        <v>1186</v>
      </c>
      <c r="B12" s="1">
        <v>1</v>
      </c>
      <c r="C12" s="1">
        <v>2016</v>
      </c>
      <c r="D12" s="1" t="s">
        <v>214</v>
      </c>
      <c r="E12" s="1" t="s">
        <v>215</v>
      </c>
      <c r="F12" s="1">
        <v>26.895</v>
      </c>
      <c r="G12" s="1">
        <v>4</v>
      </c>
      <c r="H12" s="1">
        <v>195</v>
      </c>
      <c r="I12" s="1">
        <v>105.9</v>
      </c>
      <c r="J12" s="1">
        <v>72.3</v>
      </c>
      <c r="K12" s="1">
        <v>181.5</v>
      </c>
      <c r="L12" s="1">
        <v>3.88</v>
      </c>
      <c r="M12" s="1">
        <v>20.5</v>
      </c>
      <c r="N12" s="1">
        <v>19</v>
      </c>
      <c r="O12" s="5">
        <v>44905</v>
      </c>
      <c r="P12" s="1">
        <v>80.387779120000005</v>
      </c>
      <c r="Q12" s="1">
        <v>126424</v>
      </c>
    </row>
    <row r="13" spans="1:23" ht="12.75" x14ac:dyDescent="0.35">
      <c r="A13" s="1">
        <v>1198</v>
      </c>
      <c r="B13" s="1">
        <v>1</v>
      </c>
      <c r="C13" s="1">
        <v>2000</v>
      </c>
      <c r="D13" s="1" t="s">
        <v>175</v>
      </c>
      <c r="E13" s="1">
        <v>44809</v>
      </c>
      <c r="F13" s="1">
        <v>33.119999999999997</v>
      </c>
      <c r="G13" s="1">
        <v>2.2999999999999998</v>
      </c>
      <c r="H13" s="1">
        <v>170</v>
      </c>
      <c r="I13" s="1">
        <v>106.4</v>
      </c>
      <c r="J13" s="1">
        <v>70.599999999999994</v>
      </c>
      <c r="K13" s="1">
        <v>189.2</v>
      </c>
      <c r="L13" s="1">
        <v>3.28</v>
      </c>
      <c r="M13" s="1">
        <v>18.5</v>
      </c>
      <c r="N13" s="1">
        <v>23</v>
      </c>
      <c r="O13" s="5">
        <v>38665</v>
      </c>
      <c r="P13" s="1">
        <v>73.503778190000006</v>
      </c>
      <c r="Q13" s="1">
        <v>207111</v>
      </c>
    </row>
    <row r="14" spans="1:23" ht="12.75" x14ac:dyDescent="0.35">
      <c r="A14" s="1">
        <v>1124</v>
      </c>
      <c r="B14" s="1">
        <v>1</v>
      </c>
      <c r="C14" s="1">
        <v>2012</v>
      </c>
      <c r="D14" s="1" t="s">
        <v>241</v>
      </c>
      <c r="E14" s="1" t="s">
        <v>242</v>
      </c>
      <c r="F14" s="1">
        <v>17.885000000000002</v>
      </c>
      <c r="G14" s="1">
        <v>3</v>
      </c>
      <c r="H14" s="1">
        <v>155</v>
      </c>
      <c r="I14" s="1">
        <v>108.5</v>
      </c>
      <c r="J14" s="1">
        <v>73</v>
      </c>
      <c r="K14" s="1">
        <v>197.6</v>
      </c>
      <c r="L14" s="1">
        <v>3.3679999999999999</v>
      </c>
      <c r="M14" s="1">
        <v>16</v>
      </c>
      <c r="N14" s="1">
        <v>24</v>
      </c>
      <c r="O14" s="5">
        <v>44185</v>
      </c>
      <c r="P14" s="1">
        <v>62.503739500000002</v>
      </c>
      <c r="Q14" s="1">
        <v>143273</v>
      </c>
    </row>
    <row r="15" spans="1:23" ht="12.75" x14ac:dyDescent="0.35">
      <c r="A15" s="1">
        <v>1132</v>
      </c>
      <c r="B15" s="1">
        <v>1</v>
      </c>
      <c r="C15" s="1">
        <v>2010</v>
      </c>
      <c r="D15" s="1" t="s">
        <v>255</v>
      </c>
      <c r="E15" s="1" t="s">
        <v>258</v>
      </c>
      <c r="F15" s="1">
        <v>19.72</v>
      </c>
      <c r="G15" s="1">
        <v>3.4</v>
      </c>
      <c r="H15" s="1">
        <v>175</v>
      </c>
      <c r="I15" s="1">
        <v>107</v>
      </c>
      <c r="J15" s="1">
        <v>70.400000000000006</v>
      </c>
      <c r="K15" s="1">
        <v>186.3</v>
      </c>
      <c r="L15" s="1">
        <v>3.0910000000000002</v>
      </c>
      <c r="M15" s="1">
        <v>15.2</v>
      </c>
      <c r="N15" s="1">
        <v>25</v>
      </c>
      <c r="O15" s="5">
        <v>41969</v>
      </c>
      <c r="P15" s="1">
        <v>70.389737260000004</v>
      </c>
      <c r="Q15" s="1">
        <v>239202</v>
      </c>
    </row>
    <row r="16" spans="1:23" ht="12.75" x14ac:dyDescent="0.35">
      <c r="A16" s="1">
        <v>1407</v>
      </c>
      <c r="B16" s="1">
        <v>1</v>
      </c>
      <c r="C16" s="1">
        <v>2022</v>
      </c>
      <c r="D16" s="1" t="s">
        <v>91</v>
      </c>
      <c r="E16" s="1" t="s">
        <v>270</v>
      </c>
      <c r="F16" s="1">
        <v>12.64</v>
      </c>
      <c r="G16" s="1">
        <v>2</v>
      </c>
      <c r="H16" s="1">
        <v>132</v>
      </c>
      <c r="I16" s="1">
        <v>105</v>
      </c>
      <c r="J16" s="1">
        <v>74.400000000000006</v>
      </c>
      <c r="K16" s="1">
        <v>174.4</v>
      </c>
      <c r="L16" s="1">
        <v>2.5670000000000002</v>
      </c>
      <c r="M16" s="1">
        <v>12.5</v>
      </c>
      <c r="N16" s="1">
        <v>29</v>
      </c>
      <c r="O16" s="5">
        <v>46003</v>
      </c>
      <c r="P16" s="1">
        <v>52.084898750000001</v>
      </c>
      <c r="Q16" s="1">
        <v>243363</v>
      </c>
    </row>
    <row r="17" spans="1:17" ht="12.75" x14ac:dyDescent="0.35">
      <c r="A17" s="1">
        <v>1263</v>
      </c>
      <c r="B17" s="1">
        <v>1</v>
      </c>
      <c r="C17" s="1">
        <v>2022</v>
      </c>
      <c r="D17" s="1" t="s">
        <v>281</v>
      </c>
      <c r="E17" s="1" t="s">
        <v>284</v>
      </c>
      <c r="F17" s="1">
        <v>17.356999999999999</v>
      </c>
      <c r="G17" s="1">
        <v>2.4</v>
      </c>
      <c r="H17" s="1">
        <v>145</v>
      </c>
      <c r="I17" s="1">
        <v>103.7</v>
      </c>
      <c r="J17" s="1">
        <v>68.5</v>
      </c>
      <c r="K17" s="1">
        <v>187.8</v>
      </c>
      <c r="L17" s="1">
        <v>2.9449999999999998</v>
      </c>
      <c r="M17" s="1">
        <v>16.3</v>
      </c>
      <c r="N17" s="1">
        <v>25</v>
      </c>
      <c r="O17" s="5">
        <v>45686</v>
      </c>
      <c r="P17" s="1">
        <v>58.606772919999997</v>
      </c>
      <c r="Q17" s="1">
        <v>106633</v>
      </c>
    </row>
    <row r="18" spans="1:17" ht="12.75" x14ac:dyDescent="0.35">
      <c r="A18" s="1">
        <v>1041</v>
      </c>
      <c r="B18" s="1">
        <v>1</v>
      </c>
      <c r="C18" s="1">
        <v>2003</v>
      </c>
      <c r="D18" s="1" t="s">
        <v>297</v>
      </c>
      <c r="E18" s="1" t="s">
        <v>298</v>
      </c>
      <c r="F18" s="1">
        <v>31.75</v>
      </c>
      <c r="G18" s="1">
        <v>2.2999999999999998</v>
      </c>
      <c r="H18" s="1">
        <v>185</v>
      </c>
      <c r="I18" s="1">
        <v>105.9</v>
      </c>
      <c r="J18" s="1">
        <v>67.7</v>
      </c>
      <c r="K18" s="1">
        <v>177.4</v>
      </c>
      <c r="L18" s="1">
        <v>3.25</v>
      </c>
      <c r="M18" s="1">
        <v>16.399999999999999</v>
      </c>
      <c r="N18" s="1">
        <v>26</v>
      </c>
      <c r="O18" s="5">
        <v>38831</v>
      </c>
      <c r="P18" s="1">
        <v>78.280730879999993</v>
      </c>
      <c r="Q18" s="1">
        <v>150944</v>
      </c>
    </row>
    <row r="19" spans="1:17" ht="12.75" x14ac:dyDescent="0.35">
      <c r="A19" s="1">
        <v>1079</v>
      </c>
      <c r="B19" s="1">
        <v>1</v>
      </c>
      <c r="C19" s="1">
        <v>2003</v>
      </c>
      <c r="D19" s="1" t="s">
        <v>310</v>
      </c>
      <c r="E19" s="1" t="s">
        <v>311</v>
      </c>
      <c r="F19" s="1">
        <v>22.605</v>
      </c>
      <c r="G19" s="1">
        <v>4.5999999999999996</v>
      </c>
      <c r="H19" s="1">
        <v>200</v>
      </c>
      <c r="I19" s="1">
        <v>114.7</v>
      </c>
      <c r="J19" s="1">
        <v>78.2</v>
      </c>
      <c r="K19" s="1">
        <v>212</v>
      </c>
      <c r="L19" s="1">
        <v>3.9580000000000002</v>
      </c>
      <c r="M19" s="1">
        <v>19</v>
      </c>
      <c r="N19" s="1">
        <v>21</v>
      </c>
      <c r="O19" s="5">
        <v>40748</v>
      </c>
      <c r="P19" s="1">
        <v>80.657696459999997</v>
      </c>
      <c r="Q19" s="1">
        <v>149967</v>
      </c>
    </row>
    <row r="20" spans="1:17" ht="12.75" x14ac:dyDescent="0.35">
      <c r="A20" s="1">
        <v>1288</v>
      </c>
      <c r="B20" s="1">
        <v>1</v>
      </c>
      <c r="C20" s="1">
        <v>2001</v>
      </c>
      <c r="D20" s="1" t="s">
        <v>327</v>
      </c>
      <c r="E20" s="1" t="s">
        <v>330</v>
      </c>
      <c r="F20" s="1">
        <v>16.079999999999998</v>
      </c>
      <c r="G20" s="1">
        <v>2</v>
      </c>
      <c r="H20" s="1">
        <v>132</v>
      </c>
      <c r="I20" s="1">
        <v>108</v>
      </c>
      <c r="J20" s="1">
        <v>71</v>
      </c>
      <c r="K20" s="1">
        <v>186.3</v>
      </c>
      <c r="L20" s="1">
        <v>2.9420000000000002</v>
      </c>
      <c r="M20" s="1">
        <v>16</v>
      </c>
      <c r="N20" s="1">
        <v>27</v>
      </c>
      <c r="O20" s="5">
        <v>40131</v>
      </c>
      <c r="P20" s="1">
        <v>53.411897670000002</v>
      </c>
      <c r="Q20" s="1">
        <v>283459</v>
      </c>
    </row>
    <row r="21" spans="1:17" ht="12.75" x14ac:dyDescent="0.35">
      <c r="A21" s="1">
        <v>1452</v>
      </c>
      <c r="B21" s="1">
        <v>1</v>
      </c>
      <c r="C21" s="1">
        <v>2000</v>
      </c>
      <c r="D21" s="1" t="s">
        <v>297</v>
      </c>
      <c r="E21" s="1" t="s">
        <v>348</v>
      </c>
      <c r="F21" s="1">
        <v>49.9</v>
      </c>
      <c r="G21" s="1">
        <v>3.2</v>
      </c>
      <c r="H21" s="1">
        <v>221</v>
      </c>
      <c r="I21" s="1">
        <v>111.5</v>
      </c>
      <c r="J21" s="1">
        <v>70.8</v>
      </c>
      <c r="K21" s="1">
        <v>189.4</v>
      </c>
      <c r="L21" s="1">
        <v>3.823</v>
      </c>
      <c r="M21" s="1">
        <v>21.1</v>
      </c>
      <c r="N21" s="1">
        <v>25</v>
      </c>
      <c r="O21" s="5">
        <v>39641</v>
      </c>
      <c r="P21" s="1">
        <v>98.249737499999995</v>
      </c>
      <c r="Q21" s="1">
        <v>246320</v>
      </c>
    </row>
    <row r="22" spans="1:17" ht="12.75" x14ac:dyDescent="0.35">
      <c r="A22" s="1">
        <v>1244</v>
      </c>
      <c r="B22" s="1">
        <v>1</v>
      </c>
      <c r="C22" s="1">
        <v>2021</v>
      </c>
      <c r="D22" s="1" t="s">
        <v>365</v>
      </c>
      <c r="E22" s="1" t="s">
        <v>367</v>
      </c>
      <c r="F22" s="1">
        <v>12.885</v>
      </c>
      <c r="G22" s="1">
        <v>1.6</v>
      </c>
      <c r="H22" s="1">
        <v>106</v>
      </c>
      <c r="I22" s="1">
        <v>103.2</v>
      </c>
      <c r="J22" s="1">
        <v>67.099999999999994</v>
      </c>
      <c r="K22" s="1">
        <v>175.1</v>
      </c>
      <c r="L22" s="1">
        <v>2.339</v>
      </c>
      <c r="M22" s="1">
        <v>11.9</v>
      </c>
      <c r="N22" s="1">
        <v>32</v>
      </c>
      <c r="O22" s="5">
        <v>45586</v>
      </c>
      <c r="P22" s="1">
        <v>42.879097340000001</v>
      </c>
      <c r="Q22" s="1">
        <v>290118</v>
      </c>
    </row>
    <row r="23" spans="1:17" ht="12.75" x14ac:dyDescent="0.35">
      <c r="A23" s="1">
        <v>1265</v>
      </c>
      <c r="B23" s="1">
        <v>1</v>
      </c>
      <c r="C23" s="1">
        <v>2002</v>
      </c>
      <c r="D23" s="1" t="s">
        <v>255</v>
      </c>
      <c r="E23" s="1" t="s">
        <v>387</v>
      </c>
      <c r="F23" s="1">
        <v>25.31</v>
      </c>
      <c r="G23" s="1">
        <v>3.8</v>
      </c>
      <c r="H23" s="1">
        <v>200</v>
      </c>
      <c r="I23" s="1">
        <v>101.1</v>
      </c>
      <c r="J23" s="1">
        <v>74.5</v>
      </c>
      <c r="K23" s="1">
        <v>193.4</v>
      </c>
      <c r="L23" s="1">
        <v>3.492</v>
      </c>
      <c r="M23" s="1">
        <v>16.8</v>
      </c>
      <c r="N23" s="1">
        <v>25</v>
      </c>
      <c r="O23" s="5">
        <v>39980</v>
      </c>
      <c r="P23" s="1">
        <v>81.492726160000004</v>
      </c>
      <c r="Q23" s="1">
        <v>233788</v>
      </c>
    </row>
    <row r="24" spans="1:17" ht="12.75" x14ac:dyDescent="0.35">
      <c r="A24" s="1">
        <v>1102</v>
      </c>
      <c r="B24" s="1">
        <v>1</v>
      </c>
      <c r="C24" s="1">
        <v>2022</v>
      </c>
      <c r="D24" s="1" t="s">
        <v>406</v>
      </c>
      <c r="E24" s="1" t="s">
        <v>408</v>
      </c>
      <c r="F24" s="1">
        <v>38.9</v>
      </c>
      <c r="G24" s="1">
        <v>2.8</v>
      </c>
      <c r="H24" s="1">
        <v>193</v>
      </c>
      <c r="I24" s="1">
        <v>111.4</v>
      </c>
      <c r="J24" s="1">
        <v>70.900000000000006</v>
      </c>
      <c r="K24" s="1">
        <v>188</v>
      </c>
      <c r="L24" s="1">
        <v>3.472</v>
      </c>
      <c r="M24" s="1">
        <v>18.5</v>
      </c>
      <c r="N24" s="1">
        <v>25</v>
      </c>
      <c r="O24" s="5">
        <v>45751</v>
      </c>
      <c r="P24" s="1">
        <v>83.998723799999993</v>
      </c>
      <c r="Q24" s="1">
        <v>219410</v>
      </c>
    </row>
    <row r="25" spans="1:17" ht="12.75" x14ac:dyDescent="0.35">
      <c r="A25" s="1">
        <v>1438</v>
      </c>
      <c r="B25" s="1">
        <v>1</v>
      </c>
      <c r="C25" s="1">
        <v>2003</v>
      </c>
      <c r="D25" s="1" t="s">
        <v>191</v>
      </c>
      <c r="E25" s="1" t="s">
        <v>424</v>
      </c>
      <c r="F25" s="1">
        <v>25.545000000000002</v>
      </c>
      <c r="G25" s="1">
        <v>3</v>
      </c>
      <c r="H25" s="1">
        <v>210</v>
      </c>
      <c r="I25" s="1">
        <v>107.1</v>
      </c>
      <c r="J25" s="1">
        <v>71.7</v>
      </c>
      <c r="K25" s="1">
        <v>191.9</v>
      </c>
      <c r="L25" s="1">
        <v>3.4169999999999998</v>
      </c>
      <c r="M25" s="1">
        <v>18.5</v>
      </c>
      <c r="N25" s="1">
        <v>26</v>
      </c>
      <c r="O25" s="5">
        <v>39691</v>
      </c>
      <c r="P25" s="1">
        <v>84.911898260000001</v>
      </c>
      <c r="Q25" s="1">
        <v>99036</v>
      </c>
    </row>
    <row r="26" spans="1:17" ht="12.75" x14ac:dyDescent="0.35">
      <c r="A26" s="1">
        <v>1417</v>
      </c>
      <c r="B26" s="1">
        <v>1</v>
      </c>
      <c r="C26" s="1">
        <v>2004</v>
      </c>
      <c r="D26" s="1" t="s">
        <v>447</v>
      </c>
      <c r="E26" s="1" t="s">
        <v>450</v>
      </c>
      <c r="F26" s="1">
        <v>19.84</v>
      </c>
      <c r="G26" s="1">
        <v>2.5</v>
      </c>
      <c r="H26" s="1">
        <v>163</v>
      </c>
      <c r="I26" s="1">
        <v>103.7</v>
      </c>
      <c r="J26" s="1">
        <v>69.7</v>
      </c>
      <c r="K26" s="1">
        <v>190.9</v>
      </c>
      <c r="L26" s="1">
        <v>2.9670000000000001</v>
      </c>
      <c r="M26" s="1">
        <v>15.9</v>
      </c>
      <c r="N26" s="1">
        <v>24</v>
      </c>
      <c r="O26" s="5">
        <v>39829</v>
      </c>
      <c r="P26" s="1">
        <v>65.957183959999995</v>
      </c>
      <c r="Q26" s="1">
        <v>105039</v>
      </c>
    </row>
    <row r="27" spans="1:17" ht="12.75" x14ac:dyDescent="0.35">
      <c r="A27" s="1">
        <v>1494</v>
      </c>
      <c r="B27" s="1">
        <v>1</v>
      </c>
      <c r="C27" s="1">
        <v>2022</v>
      </c>
      <c r="D27" s="1" t="s">
        <v>465</v>
      </c>
      <c r="E27" s="1" t="s">
        <v>467</v>
      </c>
      <c r="F27" s="1">
        <v>41.43</v>
      </c>
      <c r="G27" s="1">
        <v>2.7</v>
      </c>
      <c r="H27" s="1">
        <v>217</v>
      </c>
      <c r="I27" s="1">
        <v>95.2</v>
      </c>
      <c r="J27" s="1">
        <v>70.099999999999994</v>
      </c>
      <c r="K27" s="1">
        <v>171</v>
      </c>
      <c r="L27" s="1">
        <v>2.778</v>
      </c>
      <c r="M27" s="1">
        <v>17</v>
      </c>
      <c r="N27" s="1">
        <v>22</v>
      </c>
      <c r="O27" s="5">
        <v>45707</v>
      </c>
      <c r="P27" s="1">
        <v>93.437330700000004</v>
      </c>
      <c r="Q27" s="1">
        <v>202902</v>
      </c>
    </row>
    <row r="28" spans="1:17" ht="12.75" x14ac:dyDescent="0.35">
      <c r="A28" s="1">
        <v>1077</v>
      </c>
      <c r="B28" s="1">
        <v>1</v>
      </c>
      <c r="C28" s="1">
        <v>2019</v>
      </c>
      <c r="D28" s="1" t="s">
        <v>447</v>
      </c>
      <c r="E28" s="1" t="s">
        <v>486</v>
      </c>
      <c r="F28" s="1">
        <v>28.34</v>
      </c>
      <c r="G28" s="1">
        <v>3.5</v>
      </c>
      <c r="H28" s="1">
        <v>253</v>
      </c>
      <c r="I28" s="1">
        <v>113</v>
      </c>
      <c r="J28" s="1">
        <v>74.400000000000006</v>
      </c>
      <c r="K28" s="1">
        <v>207.7</v>
      </c>
      <c r="L28" s="1">
        <v>3.5640000000000001</v>
      </c>
      <c r="M28" s="1">
        <v>17</v>
      </c>
      <c r="N28" s="1">
        <v>23</v>
      </c>
      <c r="O28" s="5">
        <v>45420</v>
      </c>
      <c r="P28" s="1">
        <v>101.3292807</v>
      </c>
      <c r="Q28" s="1">
        <v>288348</v>
      </c>
    </row>
    <row r="29" spans="1:17" ht="12.75" x14ac:dyDescent="0.35">
      <c r="A29" s="1">
        <v>1496</v>
      </c>
      <c r="B29" s="1">
        <v>1</v>
      </c>
      <c r="C29" s="1">
        <v>2003</v>
      </c>
      <c r="D29" s="1" t="s">
        <v>501</v>
      </c>
      <c r="E29" s="1" t="s">
        <v>505</v>
      </c>
      <c r="F29" s="1">
        <v>21.5</v>
      </c>
      <c r="G29" s="1">
        <v>1.8</v>
      </c>
      <c r="H29" s="1">
        <v>140</v>
      </c>
      <c r="I29" s="1">
        <v>101.2</v>
      </c>
      <c r="J29" s="1">
        <v>67.3</v>
      </c>
      <c r="K29" s="1">
        <v>172.4</v>
      </c>
      <c r="L29" s="1">
        <v>2.6389999999999998</v>
      </c>
      <c r="M29" s="1">
        <v>13.2</v>
      </c>
      <c r="N29" s="1">
        <v>28</v>
      </c>
      <c r="O29" s="5">
        <v>39480</v>
      </c>
      <c r="P29" s="1">
        <v>58.280149520000002</v>
      </c>
      <c r="Q29" s="1">
        <v>199200</v>
      </c>
    </row>
    <row r="30" spans="1:17" ht="12.75" x14ac:dyDescent="0.35">
      <c r="A30" s="1">
        <v>1447</v>
      </c>
      <c r="B30" s="1">
        <v>1</v>
      </c>
      <c r="C30" s="1">
        <v>2014</v>
      </c>
      <c r="D30" s="1" t="s">
        <v>281</v>
      </c>
      <c r="E30" s="1" t="s">
        <v>528</v>
      </c>
      <c r="F30" s="1">
        <v>13.987</v>
      </c>
      <c r="G30" s="1">
        <v>1.8</v>
      </c>
      <c r="H30" s="1">
        <v>113</v>
      </c>
      <c r="I30" s="1">
        <v>98.4</v>
      </c>
      <c r="J30" s="1">
        <v>66.5</v>
      </c>
      <c r="K30" s="1">
        <v>173.6</v>
      </c>
      <c r="L30" s="1">
        <v>2.25</v>
      </c>
      <c r="M30" s="1">
        <v>13.2</v>
      </c>
      <c r="N30" s="1">
        <v>30</v>
      </c>
      <c r="O30" s="5">
        <v>44309</v>
      </c>
      <c r="P30" s="1">
        <v>45.832180559999998</v>
      </c>
      <c r="Q30" s="1">
        <v>58653</v>
      </c>
    </row>
    <row r="31" spans="1:17" ht="12.75" x14ac:dyDescent="0.35">
      <c r="A31" s="1">
        <v>1083</v>
      </c>
      <c r="B31" s="1">
        <v>1</v>
      </c>
      <c r="C31" s="1">
        <v>2003</v>
      </c>
      <c r="D31" s="1" t="s">
        <v>97</v>
      </c>
      <c r="E31" s="1" t="s">
        <v>542</v>
      </c>
      <c r="F31" s="1">
        <v>28.8</v>
      </c>
      <c r="G31" s="1">
        <v>2.4</v>
      </c>
      <c r="H31" s="1">
        <v>168</v>
      </c>
      <c r="I31" s="1">
        <v>104.9</v>
      </c>
      <c r="J31" s="1">
        <v>69.3</v>
      </c>
      <c r="K31" s="1">
        <v>186.2</v>
      </c>
      <c r="L31" s="1">
        <v>3.2589999999999999</v>
      </c>
      <c r="M31" s="1">
        <v>17.899999999999999</v>
      </c>
      <c r="N31" s="1">
        <v>25</v>
      </c>
      <c r="O31" s="5">
        <v>39624</v>
      </c>
      <c r="P31" s="1">
        <v>71.1559776</v>
      </c>
      <c r="Q31" s="1">
        <v>215076</v>
      </c>
    </row>
    <row r="32" spans="1:17" ht="12.75" x14ac:dyDescent="0.35">
      <c r="A32" s="1">
        <v>1069</v>
      </c>
      <c r="B32" s="1">
        <v>1</v>
      </c>
      <c r="C32" s="1">
        <v>2007</v>
      </c>
      <c r="D32" s="1" t="s">
        <v>548</v>
      </c>
      <c r="E32" s="1" t="s">
        <v>551</v>
      </c>
      <c r="F32" s="1">
        <v>46.225000000000001</v>
      </c>
      <c r="G32" s="1">
        <v>5.7</v>
      </c>
      <c r="H32" s="1">
        <v>255</v>
      </c>
      <c r="I32" s="1">
        <v>117.5</v>
      </c>
      <c r="J32" s="1">
        <v>77</v>
      </c>
      <c r="K32" s="1">
        <v>201.2</v>
      </c>
      <c r="L32" s="1">
        <v>5.5720000000000001</v>
      </c>
      <c r="M32" s="1">
        <v>30</v>
      </c>
      <c r="N32" s="1">
        <v>15</v>
      </c>
      <c r="O32" s="5">
        <v>41746</v>
      </c>
      <c r="P32" s="1">
        <v>109.5091165</v>
      </c>
      <c r="Q32" s="1">
        <v>237505</v>
      </c>
    </row>
    <row r="33" spans="1:17" ht="12.75" x14ac:dyDescent="0.35">
      <c r="A33" s="1">
        <v>1021</v>
      </c>
      <c r="B33" s="1">
        <v>1</v>
      </c>
      <c r="C33" s="1">
        <v>2007</v>
      </c>
      <c r="D33" s="1" t="s">
        <v>191</v>
      </c>
      <c r="E33" s="1" t="s">
        <v>558</v>
      </c>
      <c r="F33" s="1">
        <v>22.367999999999999</v>
      </c>
      <c r="G33" s="1">
        <v>3</v>
      </c>
      <c r="H33" s="1">
        <v>194</v>
      </c>
      <c r="I33" s="1">
        <v>114.2</v>
      </c>
      <c r="J33" s="1">
        <v>73.400000000000006</v>
      </c>
      <c r="K33" s="1">
        <v>193.5</v>
      </c>
      <c r="L33" s="1">
        <v>3.7589999999999999</v>
      </c>
      <c r="M33" s="1">
        <v>20.9</v>
      </c>
      <c r="N33" s="1">
        <v>22</v>
      </c>
      <c r="O33" s="5">
        <v>40821</v>
      </c>
      <c r="P33" s="1">
        <v>78.027219470000006</v>
      </c>
      <c r="Q33" s="1">
        <v>270626</v>
      </c>
    </row>
    <row r="34" spans="1:17" ht="12.75" x14ac:dyDescent="0.35">
      <c r="A34" s="1">
        <v>1197</v>
      </c>
      <c r="B34" s="1">
        <v>1</v>
      </c>
      <c r="C34" s="1">
        <v>2002</v>
      </c>
      <c r="D34" s="1" t="s">
        <v>365</v>
      </c>
      <c r="E34" s="1" t="s">
        <v>564</v>
      </c>
      <c r="F34" s="1">
        <v>15.35</v>
      </c>
      <c r="G34" s="1">
        <v>2.2999999999999998</v>
      </c>
      <c r="H34" s="1">
        <v>135</v>
      </c>
      <c r="I34" s="1">
        <v>106.9</v>
      </c>
      <c r="J34" s="1">
        <v>70.3</v>
      </c>
      <c r="K34" s="1">
        <v>188.8</v>
      </c>
      <c r="L34" s="1">
        <v>2.9319999999999999</v>
      </c>
      <c r="M34" s="1">
        <v>17.100000000000001</v>
      </c>
      <c r="N34" s="1">
        <v>27</v>
      </c>
      <c r="O34" s="5">
        <v>39222</v>
      </c>
      <c r="P34" s="1">
        <v>54.269548290000003</v>
      </c>
      <c r="Q34" s="1">
        <v>237444</v>
      </c>
    </row>
    <row r="35" spans="1:17" ht="12.75" x14ac:dyDescent="0.35">
      <c r="A35" s="1">
        <v>1116</v>
      </c>
      <c r="B35" s="1">
        <v>1</v>
      </c>
      <c r="C35" s="1">
        <v>2014</v>
      </c>
      <c r="D35" s="1" t="s">
        <v>142</v>
      </c>
      <c r="E35" s="1" t="s">
        <v>570</v>
      </c>
      <c r="F35" s="1">
        <v>18.89</v>
      </c>
      <c r="G35" s="1">
        <v>3.4</v>
      </c>
      <c r="H35" s="1">
        <v>180</v>
      </c>
      <c r="I35" s="1">
        <v>110.5</v>
      </c>
      <c r="J35" s="1">
        <v>73</v>
      </c>
      <c r="K35" s="1">
        <v>200</v>
      </c>
      <c r="L35" s="1">
        <v>3.3889999999999998</v>
      </c>
      <c r="M35" s="1">
        <v>17</v>
      </c>
      <c r="N35" s="1">
        <v>27</v>
      </c>
      <c r="O35" s="5">
        <v>42904</v>
      </c>
      <c r="P35" s="1">
        <v>71.838039440000003</v>
      </c>
      <c r="Q35" s="1">
        <v>82160</v>
      </c>
    </row>
    <row r="36" spans="1:17" ht="12.75" x14ac:dyDescent="0.35">
      <c r="A36" s="1">
        <v>1119</v>
      </c>
      <c r="B36" s="1">
        <v>1</v>
      </c>
      <c r="C36" s="1">
        <v>2012</v>
      </c>
      <c r="D36" s="1" t="s">
        <v>465</v>
      </c>
      <c r="E36" s="1" t="s">
        <v>577</v>
      </c>
      <c r="F36" s="1">
        <v>74.97</v>
      </c>
      <c r="G36" s="1">
        <v>3.4</v>
      </c>
      <c r="H36" s="1">
        <v>300</v>
      </c>
      <c r="I36" s="1">
        <v>92.6</v>
      </c>
      <c r="J36" s="1">
        <v>69.5</v>
      </c>
      <c r="K36" s="1">
        <v>174.5</v>
      </c>
      <c r="L36" s="1">
        <v>3.0750000000000002</v>
      </c>
      <c r="M36" s="1">
        <v>17</v>
      </c>
      <c r="N36" s="1">
        <v>23</v>
      </c>
      <c r="O36" s="5">
        <v>43292</v>
      </c>
      <c r="P36" s="1">
        <v>135.91470960000001</v>
      </c>
      <c r="Q36" s="1">
        <v>253996</v>
      </c>
    </row>
    <row r="37" spans="1:17" ht="12.75" x14ac:dyDescent="0.35">
      <c r="A37" s="1">
        <v>1084</v>
      </c>
      <c r="B37" s="1">
        <v>1</v>
      </c>
      <c r="C37" s="1">
        <v>2002</v>
      </c>
      <c r="D37" s="1" t="s">
        <v>587</v>
      </c>
      <c r="E37" s="1" t="s">
        <v>588</v>
      </c>
      <c r="F37" s="1">
        <v>62</v>
      </c>
      <c r="G37" s="1">
        <v>4.2</v>
      </c>
      <c r="H37" s="1">
        <v>310</v>
      </c>
      <c r="I37" s="1">
        <v>113</v>
      </c>
      <c r="J37" s="1">
        <v>74</v>
      </c>
      <c r="K37" s="1">
        <v>198.2</v>
      </c>
      <c r="L37" s="1">
        <v>3.9020000000000001</v>
      </c>
      <c r="M37" s="1">
        <v>23.7</v>
      </c>
      <c r="N37" s="1">
        <v>21</v>
      </c>
      <c r="O37" s="5">
        <v>39871</v>
      </c>
      <c r="P37" s="1">
        <v>134.65685819999999</v>
      </c>
      <c r="Q37" s="1">
        <v>295086</v>
      </c>
    </row>
    <row r="38" spans="1:17" ht="12.75" x14ac:dyDescent="0.35">
      <c r="A38" s="1">
        <v>1422</v>
      </c>
      <c r="B38" s="1">
        <v>1</v>
      </c>
      <c r="C38" s="1">
        <v>2007</v>
      </c>
      <c r="D38" s="1" t="s">
        <v>115</v>
      </c>
      <c r="E38" s="1" t="s">
        <v>594</v>
      </c>
      <c r="F38" s="1">
        <v>14.9</v>
      </c>
      <c r="G38" s="1">
        <v>2</v>
      </c>
      <c r="H38" s="1">
        <v>115</v>
      </c>
      <c r="I38" s="1">
        <v>98.9</v>
      </c>
      <c r="J38" s="1">
        <v>68.3</v>
      </c>
      <c r="K38" s="1">
        <v>163.30000000000001</v>
      </c>
      <c r="L38" s="1">
        <v>2.7669999999999999</v>
      </c>
      <c r="M38" s="1">
        <v>14.5</v>
      </c>
      <c r="N38" s="1">
        <v>26</v>
      </c>
      <c r="O38" s="5">
        <v>40202</v>
      </c>
      <c r="P38" s="1">
        <v>46.943876760000002</v>
      </c>
      <c r="Q38" s="1">
        <v>108083</v>
      </c>
    </row>
    <row r="39" spans="1:17" ht="12.75" x14ac:dyDescent="0.35">
      <c r="A39" s="1">
        <v>1314</v>
      </c>
      <c r="B39" s="1">
        <v>1</v>
      </c>
      <c r="C39" s="1">
        <v>2004</v>
      </c>
      <c r="D39" s="1" t="s">
        <v>297</v>
      </c>
      <c r="E39" s="1" t="s">
        <v>600</v>
      </c>
      <c r="F39" s="1">
        <v>41.6</v>
      </c>
      <c r="G39" s="1">
        <v>3.2</v>
      </c>
      <c r="H39" s="1">
        <v>215</v>
      </c>
      <c r="I39" s="1">
        <v>105.9</v>
      </c>
      <c r="J39" s="1">
        <v>67.8</v>
      </c>
      <c r="K39" s="1">
        <v>180.3</v>
      </c>
      <c r="L39" s="1">
        <v>3.2130000000000001</v>
      </c>
      <c r="M39" s="1">
        <v>16.399999999999999</v>
      </c>
      <c r="N39" s="1">
        <v>26</v>
      </c>
      <c r="O39" s="5">
        <v>40002</v>
      </c>
      <c r="P39" s="1">
        <v>92.925791770000004</v>
      </c>
      <c r="Q39" s="1">
        <v>83504</v>
      </c>
    </row>
    <row r="40" spans="1:17" ht="12.75" x14ac:dyDescent="0.35">
      <c r="A40" s="1">
        <v>1147</v>
      </c>
      <c r="B40" s="1">
        <v>1</v>
      </c>
      <c r="C40" s="1">
        <v>2009</v>
      </c>
      <c r="D40" s="1" t="s">
        <v>604</v>
      </c>
      <c r="E40" s="1" t="s">
        <v>605</v>
      </c>
      <c r="F40" s="1">
        <v>29.298999999999999</v>
      </c>
      <c r="G40" s="1">
        <v>3.3</v>
      </c>
      <c r="H40" s="1">
        <v>170</v>
      </c>
      <c r="I40" s="1">
        <v>106.3</v>
      </c>
      <c r="J40" s="1">
        <v>71.7</v>
      </c>
      <c r="K40" s="1">
        <v>182.6</v>
      </c>
      <c r="L40" s="1">
        <v>3.9470000000000001</v>
      </c>
      <c r="M40" s="1">
        <v>21</v>
      </c>
      <c r="N40" s="1">
        <v>19</v>
      </c>
      <c r="O40" s="5">
        <v>42638</v>
      </c>
      <c r="P40" s="1">
        <v>72.290355079999998</v>
      </c>
      <c r="Q40" s="1">
        <v>93050</v>
      </c>
    </row>
    <row r="41" spans="1:17" ht="12.75" x14ac:dyDescent="0.35">
      <c r="A41" s="1">
        <v>1070</v>
      </c>
      <c r="B41" s="1">
        <v>1</v>
      </c>
      <c r="C41" s="1">
        <v>2006</v>
      </c>
      <c r="D41" s="1" t="s">
        <v>501</v>
      </c>
      <c r="E41" s="1" t="s">
        <v>614</v>
      </c>
      <c r="F41" s="1"/>
      <c r="G41" s="1">
        <v>3.2</v>
      </c>
      <c r="H41" s="1">
        <v>225</v>
      </c>
      <c r="I41" s="1">
        <v>106.9</v>
      </c>
      <c r="J41" s="1">
        <v>70.599999999999994</v>
      </c>
      <c r="K41" s="1">
        <v>192</v>
      </c>
      <c r="L41" s="1">
        <v>3.47</v>
      </c>
      <c r="M41" s="1">
        <v>17.2</v>
      </c>
      <c r="N41" s="1">
        <v>26</v>
      </c>
      <c r="O41" s="5">
        <v>40182</v>
      </c>
      <c r="P41" s="1"/>
      <c r="Q41" s="1">
        <v>123843</v>
      </c>
    </row>
    <row r="42" spans="1:17" ht="12.75" x14ac:dyDescent="0.35">
      <c r="A42" s="1">
        <v>1491</v>
      </c>
      <c r="B42" s="1">
        <v>1</v>
      </c>
      <c r="C42" s="1">
        <v>2020</v>
      </c>
      <c r="D42" s="1" t="s">
        <v>115</v>
      </c>
      <c r="E42" s="1" t="s">
        <v>620</v>
      </c>
      <c r="F42" s="1">
        <v>16.7</v>
      </c>
      <c r="G42" s="1">
        <v>2</v>
      </c>
      <c r="H42" s="1">
        <v>115</v>
      </c>
      <c r="I42" s="1">
        <v>98.9</v>
      </c>
      <c r="J42" s="1">
        <v>68.3</v>
      </c>
      <c r="K42" s="1">
        <v>172.3</v>
      </c>
      <c r="L42" s="1">
        <v>2.8530000000000002</v>
      </c>
      <c r="M42" s="1">
        <v>14.5</v>
      </c>
      <c r="N42" s="1">
        <v>26</v>
      </c>
      <c r="O42" s="5">
        <v>45531</v>
      </c>
      <c r="P42" s="1">
        <v>47.638236659999997</v>
      </c>
      <c r="Q42" s="1">
        <v>230590</v>
      </c>
    </row>
    <row r="43" spans="1:17" ht="12.75" x14ac:dyDescent="0.35">
      <c r="A43" s="1">
        <v>1094</v>
      </c>
      <c r="B43" s="1">
        <v>1</v>
      </c>
      <c r="C43" s="1">
        <v>2000</v>
      </c>
      <c r="D43" s="1" t="s">
        <v>548</v>
      </c>
      <c r="E43" s="1" t="s">
        <v>629</v>
      </c>
      <c r="F43" s="1">
        <v>31.01</v>
      </c>
      <c r="G43" s="1">
        <v>3</v>
      </c>
      <c r="H43" s="1">
        <v>200</v>
      </c>
      <c r="I43" s="1">
        <v>107.4</v>
      </c>
      <c r="J43" s="1">
        <v>70.3</v>
      </c>
      <c r="K43" s="1">
        <v>194.8</v>
      </c>
      <c r="L43" s="1">
        <v>3.77</v>
      </c>
      <c r="M43" s="1">
        <v>18</v>
      </c>
      <c r="N43" s="1">
        <v>22</v>
      </c>
      <c r="O43" s="5">
        <v>39353</v>
      </c>
      <c r="P43" s="1">
        <v>83.483093580000002</v>
      </c>
      <c r="Q43" s="1">
        <v>177127</v>
      </c>
    </row>
    <row r="44" spans="1:17" ht="12.75" x14ac:dyDescent="0.35">
      <c r="A44" s="1">
        <v>1460</v>
      </c>
      <c r="B44" s="1">
        <v>1</v>
      </c>
      <c r="C44" s="1">
        <v>2003</v>
      </c>
      <c r="D44" s="1" t="s">
        <v>83</v>
      </c>
      <c r="E44" s="1" t="s">
        <v>633</v>
      </c>
      <c r="F44" s="1">
        <v>24.15</v>
      </c>
      <c r="G44" s="1">
        <v>3.5</v>
      </c>
      <c r="H44" s="1">
        <v>215</v>
      </c>
      <c r="I44" s="1">
        <v>109</v>
      </c>
      <c r="J44" s="1">
        <v>73.599999999999994</v>
      </c>
      <c r="K44" s="1">
        <v>195.9</v>
      </c>
      <c r="L44" s="1">
        <v>3.4550000000000001</v>
      </c>
      <c r="M44" s="1">
        <v>18</v>
      </c>
      <c r="N44" s="1"/>
      <c r="O44" s="5">
        <v>39539</v>
      </c>
      <c r="P44" s="1">
        <v>86.272522910000006</v>
      </c>
      <c r="Q44" s="1">
        <v>244769</v>
      </c>
    </row>
    <row r="45" spans="1:17" ht="12.75" x14ac:dyDescent="0.35">
      <c r="A45" s="1">
        <v>1010</v>
      </c>
      <c r="B45" s="1">
        <v>1</v>
      </c>
      <c r="C45" s="1">
        <v>2009</v>
      </c>
      <c r="D45" s="1" t="s">
        <v>447</v>
      </c>
      <c r="E45" s="1" t="s">
        <v>638</v>
      </c>
      <c r="F45" s="1">
        <v>16.48</v>
      </c>
      <c r="G45" s="1">
        <v>2</v>
      </c>
      <c r="H45" s="1">
        <v>132</v>
      </c>
      <c r="I45" s="1">
        <v>108</v>
      </c>
      <c r="J45" s="1">
        <v>71</v>
      </c>
      <c r="K45" s="1">
        <v>186</v>
      </c>
      <c r="L45" s="1">
        <v>2.911</v>
      </c>
      <c r="M45" s="1">
        <v>16</v>
      </c>
      <c r="N45" s="1">
        <v>27</v>
      </c>
      <c r="O45" s="5">
        <v>42649</v>
      </c>
      <c r="P45" s="1">
        <v>53.566199869999998</v>
      </c>
      <c r="Q45" s="1">
        <v>246544</v>
      </c>
    </row>
    <row r="46" spans="1:17" ht="12.75" x14ac:dyDescent="0.35">
      <c r="A46" s="1">
        <v>1096</v>
      </c>
      <c r="B46" s="1">
        <v>1</v>
      </c>
      <c r="C46" s="1">
        <v>2002</v>
      </c>
      <c r="D46" s="1" t="s">
        <v>587</v>
      </c>
      <c r="E46" s="1" t="s">
        <v>646</v>
      </c>
      <c r="F46" s="1">
        <v>23.99</v>
      </c>
      <c r="G46" s="1">
        <v>1.8</v>
      </c>
      <c r="H46" s="1">
        <v>150</v>
      </c>
      <c r="I46" s="1">
        <v>102.6</v>
      </c>
      <c r="J46" s="1">
        <v>68.2</v>
      </c>
      <c r="K46" s="1">
        <v>178</v>
      </c>
      <c r="L46" s="1">
        <v>2.9980000000000002</v>
      </c>
      <c r="M46" s="1">
        <v>16.399999999999999</v>
      </c>
      <c r="N46" s="1">
        <v>27</v>
      </c>
      <c r="O46" s="5">
        <v>39363</v>
      </c>
      <c r="P46" s="1">
        <v>62.777639200000003</v>
      </c>
      <c r="Q46" s="1">
        <v>214843</v>
      </c>
    </row>
    <row r="47" spans="1:17" ht="12.75" x14ac:dyDescent="0.35">
      <c r="A47" s="1">
        <v>1102</v>
      </c>
      <c r="B47" s="1">
        <v>2</v>
      </c>
      <c r="C47" s="1">
        <v>2017</v>
      </c>
      <c r="D47" s="1" t="s">
        <v>241</v>
      </c>
      <c r="E47" s="1" t="s">
        <v>656</v>
      </c>
      <c r="F47" s="1">
        <v>21.41</v>
      </c>
      <c r="G47" s="1">
        <v>3</v>
      </c>
      <c r="H47" s="1">
        <v>150</v>
      </c>
      <c r="I47" s="1">
        <v>120.7</v>
      </c>
      <c r="J47" s="1">
        <v>76.599999999999994</v>
      </c>
      <c r="K47" s="1">
        <v>200.9</v>
      </c>
      <c r="L47" s="1">
        <v>3.7610000000000001</v>
      </c>
      <c r="M47" s="1">
        <v>26</v>
      </c>
      <c r="N47" s="1">
        <v>21</v>
      </c>
      <c r="O47" s="5">
        <v>44982</v>
      </c>
      <c r="P47" s="1">
        <v>62.095048390000002</v>
      </c>
      <c r="Q47" s="1">
        <v>162138</v>
      </c>
    </row>
    <row r="48" spans="1:17" ht="12.75" x14ac:dyDescent="0.35">
      <c r="A48" s="1">
        <v>1257</v>
      </c>
      <c r="B48" s="1">
        <v>1</v>
      </c>
      <c r="C48" s="1">
        <v>2015</v>
      </c>
      <c r="D48" s="1" t="s">
        <v>501</v>
      </c>
      <c r="E48" s="1" t="s">
        <v>661</v>
      </c>
      <c r="F48" s="1">
        <v>42</v>
      </c>
      <c r="G48" s="1">
        <v>3.5</v>
      </c>
      <c r="H48" s="1">
        <v>210</v>
      </c>
      <c r="I48" s="1">
        <v>114.6</v>
      </c>
      <c r="J48" s="1">
        <v>71.400000000000006</v>
      </c>
      <c r="K48" s="1">
        <v>196.6</v>
      </c>
      <c r="L48" s="1">
        <v>3.85</v>
      </c>
      <c r="M48" s="1">
        <v>18</v>
      </c>
      <c r="N48" s="1">
        <v>22</v>
      </c>
      <c r="O48" s="5">
        <v>43534</v>
      </c>
      <c r="P48" s="1">
        <v>91.389779329999996</v>
      </c>
      <c r="Q48" s="1">
        <v>58749</v>
      </c>
    </row>
    <row r="49" spans="1:17" ht="12.75" x14ac:dyDescent="0.35">
      <c r="A49" s="1">
        <v>1470</v>
      </c>
      <c r="B49" s="1">
        <v>1</v>
      </c>
      <c r="C49" s="1">
        <v>2013</v>
      </c>
      <c r="D49" s="1" t="s">
        <v>669</v>
      </c>
      <c r="E49" s="1" t="s">
        <v>670</v>
      </c>
      <c r="F49" s="1">
        <v>60.104999999999997</v>
      </c>
      <c r="G49" s="1">
        <v>4.7</v>
      </c>
      <c r="H49" s="1">
        <v>230</v>
      </c>
      <c r="I49" s="1">
        <v>112.2</v>
      </c>
      <c r="J49" s="1">
        <v>76.400000000000006</v>
      </c>
      <c r="K49" s="1">
        <v>192.5</v>
      </c>
      <c r="L49" s="1">
        <v>5.4009999999999998</v>
      </c>
      <c r="M49" s="1">
        <v>25.4</v>
      </c>
      <c r="N49" s="1">
        <v>15</v>
      </c>
      <c r="O49" s="5">
        <v>44499</v>
      </c>
      <c r="P49" s="1">
        <v>105.760458</v>
      </c>
      <c r="Q49" s="1">
        <v>181783</v>
      </c>
    </row>
    <row r="50" spans="1:17" ht="12.75" x14ac:dyDescent="0.35">
      <c r="A50" s="1">
        <v>1198</v>
      </c>
      <c r="B50" s="1">
        <v>2</v>
      </c>
      <c r="C50" s="1">
        <v>2017</v>
      </c>
      <c r="D50" s="1" t="s">
        <v>97</v>
      </c>
      <c r="E50" s="1" t="s">
        <v>675</v>
      </c>
      <c r="F50" s="1">
        <v>23.4</v>
      </c>
      <c r="G50" s="1">
        <v>1.9</v>
      </c>
      <c r="H50" s="1">
        <v>160</v>
      </c>
      <c r="I50" s="1">
        <v>100.5</v>
      </c>
      <c r="J50" s="1">
        <v>67.599999999999994</v>
      </c>
      <c r="K50" s="1">
        <v>176.6</v>
      </c>
      <c r="L50" s="1">
        <v>2.9980000000000002</v>
      </c>
      <c r="M50" s="1">
        <v>15.8</v>
      </c>
      <c r="N50" s="1">
        <v>25</v>
      </c>
      <c r="O50" s="5">
        <v>44245</v>
      </c>
      <c r="P50" s="1">
        <v>66.113056799999995</v>
      </c>
      <c r="Q50" s="1">
        <v>261135</v>
      </c>
    </row>
    <row r="51" spans="1:17" ht="12.75" x14ac:dyDescent="0.35">
      <c r="A51" s="1">
        <v>1491</v>
      </c>
      <c r="B51" s="1">
        <v>2</v>
      </c>
      <c r="C51" s="1">
        <v>2015</v>
      </c>
      <c r="D51" s="1" t="s">
        <v>255</v>
      </c>
      <c r="E51" s="1" t="s">
        <v>685</v>
      </c>
      <c r="F51" s="1">
        <v>23.754999999999999</v>
      </c>
      <c r="G51" s="1">
        <v>3.8</v>
      </c>
      <c r="H51" s="1">
        <v>205</v>
      </c>
      <c r="I51" s="1">
        <v>112.2</v>
      </c>
      <c r="J51" s="1">
        <v>72.599999999999994</v>
      </c>
      <c r="K51" s="1">
        <v>202.5</v>
      </c>
      <c r="L51" s="1">
        <v>3.59</v>
      </c>
      <c r="M51" s="1">
        <v>17.5</v>
      </c>
      <c r="N51" s="1">
        <v>24</v>
      </c>
      <c r="O51" s="5">
        <v>43603</v>
      </c>
      <c r="P51" s="1">
        <v>82.661355599999993</v>
      </c>
      <c r="Q51" s="1">
        <v>103412</v>
      </c>
    </row>
    <row r="52" spans="1:17" ht="12.75" x14ac:dyDescent="0.35">
      <c r="A52" s="1">
        <v>1484</v>
      </c>
      <c r="B52" s="1">
        <v>2</v>
      </c>
      <c r="C52" s="1">
        <v>2008</v>
      </c>
      <c r="D52" s="1" t="s">
        <v>690</v>
      </c>
      <c r="E52" s="1" t="s">
        <v>692</v>
      </c>
      <c r="F52" s="1">
        <v>20.094999999999999</v>
      </c>
      <c r="G52" s="1">
        <v>2.5</v>
      </c>
      <c r="H52" s="1">
        <v>165</v>
      </c>
      <c r="I52" s="1">
        <v>99.4</v>
      </c>
      <c r="J52" s="1">
        <v>68.3</v>
      </c>
      <c r="K52" s="1">
        <v>175.2</v>
      </c>
      <c r="L52" s="1">
        <v>3.125</v>
      </c>
      <c r="M52" s="1">
        <v>15.9</v>
      </c>
      <c r="N52" s="1">
        <v>24</v>
      </c>
      <c r="O52" s="5">
        <v>40796</v>
      </c>
      <c r="P52" s="1">
        <v>66.762943309999997</v>
      </c>
      <c r="Q52" s="1">
        <v>254963</v>
      </c>
    </row>
    <row r="53" spans="1:17" ht="12.75" x14ac:dyDescent="0.35">
      <c r="A53" s="1">
        <v>1032</v>
      </c>
      <c r="B53" s="1">
        <v>2</v>
      </c>
      <c r="C53" s="1">
        <v>2005</v>
      </c>
      <c r="D53" s="1" t="s">
        <v>465</v>
      </c>
      <c r="E53" s="1" t="s">
        <v>699</v>
      </c>
      <c r="F53" s="1">
        <v>71.02</v>
      </c>
      <c r="G53" s="1">
        <v>3.4</v>
      </c>
      <c r="H53" s="1">
        <v>300</v>
      </c>
      <c r="I53" s="1">
        <v>92.6</v>
      </c>
      <c r="J53" s="1">
        <v>69.5</v>
      </c>
      <c r="K53" s="1">
        <v>174.5</v>
      </c>
      <c r="L53" s="1">
        <v>3.032</v>
      </c>
      <c r="M53" s="1">
        <v>17</v>
      </c>
      <c r="N53" s="1">
        <v>21</v>
      </c>
      <c r="O53" s="5">
        <v>40533</v>
      </c>
      <c r="P53" s="1">
        <v>134.3909754</v>
      </c>
      <c r="Q53" s="1">
        <v>61380</v>
      </c>
    </row>
    <row r="54" spans="1:17" ht="12.75" x14ac:dyDescent="0.35">
      <c r="A54" s="1">
        <v>1199</v>
      </c>
      <c r="B54" s="1">
        <v>1</v>
      </c>
      <c r="C54" s="1">
        <v>2012</v>
      </c>
      <c r="D54" s="1" t="s">
        <v>97</v>
      </c>
      <c r="E54" s="1" t="s">
        <v>703</v>
      </c>
      <c r="F54" s="1">
        <v>45.5</v>
      </c>
      <c r="G54" s="1">
        <v>2.2999999999999998</v>
      </c>
      <c r="H54" s="1">
        <v>236</v>
      </c>
      <c r="I54" s="1">
        <v>104.9</v>
      </c>
      <c r="J54" s="1">
        <v>71.5</v>
      </c>
      <c r="K54" s="1">
        <v>185.7</v>
      </c>
      <c r="L54" s="1">
        <v>3.601</v>
      </c>
      <c r="M54" s="1">
        <v>18.5</v>
      </c>
      <c r="N54" s="1">
        <v>23</v>
      </c>
      <c r="O54" s="5">
        <v>43947</v>
      </c>
      <c r="P54" s="1">
        <v>101.6233572</v>
      </c>
      <c r="Q54" s="1">
        <v>229021</v>
      </c>
    </row>
    <row r="55" spans="1:17" ht="12.75" x14ac:dyDescent="0.35">
      <c r="A55" s="1">
        <v>1414</v>
      </c>
      <c r="B55" s="1">
        <v>1</v>
      </c>
      <c r="C55" s="1">
        <v>2009</v>
      </c>
      <c r="D55" s="1" t="s">
        <v>310</v>
      </c>
      <c r="E55" s="1" t="s">
        <v>713</v>
      </c>
      <c r="F55" s="1">
        <v>16.54</v>
      </c>
      <c r="G55" s="1">
        <v>2</v>
      </c>
      <c r="H55" s="1">
        <v>125</v>
      </c>
      <c r="I55" s="1">
        <v>106.4</v>
      </c>
      <c r="J55" s="1">
        <v>69.599999999999994</v>
      </c>
      <c r="K55" s="1">
        <v>185</v>
      </c>
      <c r="L55" s="1">
        <v>2.8919999999999999</v>
      </c>
      <c r="M55" s="1">
        <v>16</v>
      </c>
      <c r="N55" s="1">
        <v>30</v>
      </c>
      <c r="O55" s="5">
        <v>42423</v>
      </c>
      <c r="P55" s="1">
        <v>51.113474259999997</v>
      </c>
      <c r="Q55" s="1">
        <v>192857</v>
      </c>
    </row>
    <row r="56" spans="1:17" ht="12.75" x14ac:dyDescent="0.35">
      <c r="A56" s="1">
        <v>1181</v>
      </c>
      <c r="B56" s="1">
        <v>1</v>
      </c>
      <c r="C56" s="1">
        <v>2016</v>
      </c>
      <c r="D56" s="1" t="s">
        <v>61</v>
      </c>
      <c r="E56" s="1" t="s">
        <v>721</v>
      </c>
      <c r="F56" s="1">
        <v>39.08</v>
      </c>
      <c r="G56" s="1">
        <v>4.5999999999999996</v>
      </c>
      <c r="H56" s="1">
        <v>275</v>
      </c>
      <c r="I56" s="1">
        <v>109</v>
      </c>
      <c r="J56" s="1">
        <v>73.599999999999994</v>
      </c>
      <c r="K56" s="1">
        <v>208.5</v>
      </c>
      <c r="L56" s="1">
        <v>3.8679999999999999</v>
      </c>
      <c r="M56" s="1">
        <v>20</v>
      </c>
      <c r="N56" s="1">
        <v>22</v>
      </c>
      <c r="O56" s="5">
        <v>44046</v>
      </c>
      <c r="P56" s="1">
        <v>113.5402069</v>
      </c>
      <c r="Q56" s="1">
        <v>54105</v>
      </c>
    </row>
    <row r="57" spans="1:17" ht="12.75" x14ac:dyDescent="0.35">
      <c r="A57" s="1">
        <v>1496</v>
      </c>
      <c r="B57" s="1">
        <v>2</v>
      </c>
      <c r="C57" s="1">
        <v>2010</v>
      </c>
      <c r="D57" s="1" t="s">
        <v>91</v>
      </c>
      <c r="E57" s="1" t="s">
        <v>726</v>
      </c>
      <c r="F57" s="1">
        <v>26.31</v>
      </c>
      <c r="G57" s="1">
        <v>5.2</v>
      </c>
      <c r="H57" s="1">
        <v>230</v>
      </c>
      <c r="I57" s="1">
        <v>115.7</v>
      </c>
      <c r="J57" s="1">
        <v>71.7</v>
      </c>
      <c r="K57" s="1">
        <v>193.5</v>
      </c>
      <c r="L57" s="1">
        <v>4.3940000000000001</v>
      </c>
      <c r="M57" s="1">
        <v>25</v>
      </c>
      <c r="N57" s="1">
        <v>17</v>
      </c>
      <c r="O57" s="5">
        <v>42548</v>
      </c>
      <c r="P57" s="1">
        <v>92.85412522</v>
      </c>
      <c r="Q57" s="1">
        <v>218325</v>
      </c>
    </row>
    <row r="58" spans="1:17" ht="12.75" x14ac:dyDescent="0.35">
      <c r="A58" s="1">
        <v>1150</v>
      </c>
      <c r="B58" s="1">
        <v>1</v>
      </c>
      <c r="C58" s="1">
        <v>2004</v>
      </c>
      <c r="D58" s="1" t="s">
        <v>142</v>
      </c>
      <c r="E58" s="1" t="s">
        <v>733</v>
      </c>
      <c r="F58" s="1">
        <v>45.704999999999998</v>
      </c>
      <c r="G58" s="1">
        <v>5.7</v>
      </c>
      <c r="H58" s="1">
        <v>345</v>
      </c>
      <c r="I58" s="1">
        <v>104.5</v>
      </c>
      <c r="J58" s="1">
        <v>73.599999999999994</v>
      </c>
      <c r="K58" s="1">
        <v>179.7</v>
      </c>
      <c r="L58" s="1">
        <v>3.21</v>
      </c>
      <c r="M58" s="1">
        <v>19.100000000000001</v>
      </c>
      <c r="N58" s="1">
        <v>22</v>
      </c>
      <c r="O58" s="5">
        <v>39214</v>
      </c>
      <c r="P58" s="1">
        <v>141.14115000000001</v>
      </c>
      <c r="Q58" s="1">
        <v>260214</v>
      </c>
    </row>
    <row r="59" spans="1:17" ht="12.75" x14ac:dyDescent="0.35">
      <c r="A59" s="1">
        <v>1084</v>
      </c>
      <c r="B59" s="1">
        <v>2</v>
      </c>
      <c r="C59" s="1">
        <v>2018</v>
      </c>
      <c r="D59" s="1" t="s">
        <v>241</v>
      </c>
      <c r="E59" s="1" t="s">
        <v>736</v>
      </c>
      <c r="F59" s="1">
        <v>12.315</v>
      </c>
      <c r="G59" s="1">
        <v>2</v>
      </c>
      <c r="H59" s="1">
        <v>107</v>
      </c>
      <c r="I59" s="1">
        <v>103</v>
      </c>
      <c r="J59" s="1">
        <v>66.900000000000006</v>
      </c>
      <c r="K59" s="1">
        <v>174.8</v>
      </c>
      <c r="L59" s="1">
        <v>2.5640000000000001</v>
      </c>
      <c r="M59" s="1">
        <v>13.2</v>
      </c>
      <c r="N59" s="1">
        <v>30</v>
      </c>
      <c r="O59" s="5">
        <v>44399</v>
      </c>
      <c r="P59" s="1">
        <v>43.117132009999999</v>
      </c>
      <c r="Q59" s="1">
        <v>202310</v>
      </c>
    </row>
    <row r="60" spans="1:17" ht="12.75" x14ac:dyDescent="0.35">
      <c r="A60" s="1">
        <v>1345</v>
      </c>
      <c r="B60" s="1">
        <v>1</v>
      </c>
      <c r="C60" s="1">
        <v>2014</v>
      </c>
      <c r="D60" s="1" t="s">
        <v>142</v>
      </c>
      <c r="E60" s="1" t="s">
        <v>742</v>
      </c>
      <c r="F60" s="1">
        <v>13.26</v>
      </c>
      <c r="G60" s="1">
        <v>2.2000000000000002</v>
      </c>
      <c r="H60" s="1">
        <v>115</v>
      </c>
      <c r="I60" s="1">
        <v>104.1</v>
      </c>
      <c r="J60" s="1">
        <v>67.900000000000006</v>
      </c>
      <c r="K60" s="1">
        <v>180.9</v>
      </c>
      <c r="L60" s="1">
        <v>2.6760000000000002</v>
      </c>
      <c r="M60" s="1">
        <v>14.3</v>
      </c>
      <c r="N60" s="1">
        <v>27</v>
      </c>
      <c r="O60" s="5">
        <v>44790</v>
      </c>
      <c r="P60" s="1">
        <v>46.363347470000001</v>
      </c>
      <c r="Q60" s="1">
        <v>234511</v>
      </c>
    </row>
    <row r="61" spans="1:17" ht="12.75" x14ac:dyDescent="0.35">
      <c r="A61" s="1">
        <v>1021</v>
      </c>
      <c r="B61" s="1">
        <v>2</v>
      </c>
      <c r="C61" s="1">
        <v>2009</v>
      </c>
      <c r="D61" s="1" t="s">
        <v>327</v>
      </c>
      <c r="E61" s="1" t="s">
        <v>749</v>
      </c>
      <c r="F61" s="1">
        <v>43</v>
      </c>
      <c r="G61" s="1">
        <v>3.5</v>
      </c>
      <c r="H61" s="1">
        <v>253</v>
      </c>
      <c r="I61" s="1">
        <v>113.3</v>
      </c>
      <c r="J61" s="1">
        <v>76.3</v>
      </c>
      <c r="K61" s="1">
        <v>165.4</v>
      </c>
      <c r="L61" s="1">
        <v>2.85</v>
      </c>
      <c r="M61" s="1">
        <v>12</v>
      </c>
      <c r="N61" s="1">
        <v>21</v>
      </c>
      <c r="O61" s="5">
        <v>42913</v>
      </c>
      <c r="P61" s="1">
        <v>106.98445630000001</v>
      </c>
      <c r="Q61" s="1">
        <v>286774</v>
      </c>
    </row>
    <row r="62" spans="1:17" ht="12.75" x14ac:dyDescent="0.35">
      <c r="A62" s="1">
        <v>1171</v>
      </c>
      <c r="B62" s="1">
        <v>1</v>
      </c>
      <c r="C62" s="1">
        <v>2005</v>
      </c>
      <c r="D62" s="1" t="s">
        <v>281</v>
      </c>
      <c r="E62" s="1" t="s">
        <v>753</v>
      </c>
      <c r="F62" s="1">
        <v>24.997</v>
      </c>
      <c r="G62" s="1">
        <v>3.5</v>
      </c>
      <c r="H62" s="1">
        <v>210</v>
      </c>
      <c r="I62" s="1">
        <v>107.1</v>
      </c>
      <c r="J62" s="1">
        <v>70.3</v>
      </c>
      <c r="K62" s="1">
        <v>194.1</v>
      </c>
      <c r="L62" s="1">
        <v>3.4430000000000001</v>
      </c>
      <c r="M62" s="1">
        <v>19</v>
      </c>
      <c r="N62" s="1">
        <v>22</v>
      </c>
      <c r="O62" s="5">
        <v>40053</v>
      </c>
      <c r="P62" s="1">
        <v>84.83077858</v>
      </c>
      <c r="Q62" s="1">
        <v>275044</v>
      </c>
    </row>
    <row r="63" spans="1:17" ht="12.75" x14ac:dyDescent="0.35">
      <c r="A63" s="1">
        <v>1387</v>
      </c>
      <c r="B63" s="1">
        <v>1</v>
      </c>
      <c r="C63" s="1">
        <v>2019</v>
      </c>
      <c r="D63" s="1" t="s">
        <v>548</v>
      </c>
      <c r="E63" s="1" t="s">
        <v>760</v>
      </c>
      <c r="F63" s="1">
        <v>39.895000000000003</v>
      </c>
      <c r="G63" s="1">
        <v>4.5999999999999996</v>
      </c>
      <c r="H63" s="1">
        <v>275</v>
      </c>
      <c r="I63" s="1">
        <v>115.3</v>
      </c>
      <c r="J63" s="1">
        <v>74.5</v>
      </c>
      <c r="K63" s="1">
        <v>207.2</v>
      </c>
      <c r="L63" s="1">
        <v>3.9780000000000002</v>
      </c>
      <c r="M63" s="1">
        <v>18.5</v>
      </c>
      <c r="N63" s="1">
        <v>22</v>
      </c>
      <c r="O63" s="5">
        <v>45711</v>
      </c>
      <c r="P63" s="1">
        <v>113.85459760000001</v>
      </c>
      <c r="Q63" s="1">
        <v>241416</v>
      </c>
    </row>
    <row r="64" spans="1:17" ht="12.75" x14ac:dyDescent="0.35">
      <c r="A64" s="1">
        <v>1385</v>
      </c>
      <c r="B64" s="1">
        <v>1</v>
      </c>
      <c r="C64" s="1">
        <v>2004</v>
      </c>
      <c r="D64" s="1" t="s">
        <v>297</v>
      </c>
      <c r="E64" s="1" t="s">
        <v>765</v>
      </c>
      <c r="F64" s="1">
        <v>41</v>
      </c>
      <c r="G64" s="1">
        <v>2.2999999999999998</v>
      </c>
      <c r="H64" s="1">
        <v>185</v>
      </c>
      <c r="I64" s="1">
        <v>94.5</v>
      </c>
      <c r="J64" s="1">
        <v>67.5</v>
      </c>
      <c r="K64" s="1">
        <v>157.30000000000001</v>
      </c>
      <c r="L64" s="1">
        <v>2.9750000000000001</v>
      </c>
      <c r="M64" s="1">
        <v>14</v>
      </c>
      <c r="N64" s="1">
        <v>27</v>
      </c>
      <c r="O64" s="5">
        <v>40396</v>
      </c>
      <c r="P64" s="1">
        <v>81.848969240000002</v>
      </c>
      <c r="Q64" s="1">
        <v>59409</v>
      </c>
    </row>
    <row r="65" spans="1:17" ht="12.75" x14ac:dyDescent="0.35">
      <c r="A65" s="1">
        <v>1023</v>
      </c>
      <c r="B65" s="1">
        <v>1</v>
      </c>
      <c r="C65" s="1">
        <v>2003</v>
      </c>
      <c r="D65" s="1" t="s">
        <v>83</v>
      </c>
      <c r="E65" s="1" t="s">
        <v>771</v>
      </c>
      <c r="F65" s="1">
        <v>18.145</v>
      </c>
      <c r="G65" s="1">
        <v>3.1</v>
      </c>
      <c r="H65" s="1">
        <v>150</v>
      </c>
      <c r="I65" s="1">
        <v>107</v>
      </c>
      <c r="J65" s="1">
        <v>69.400000000000006</v>
      </c>
      <c r="K65" s="1">
        <v>192</v>
      </c>
      <c r="L65" s="1">
        <v>3.1019999999999999</v>
      </c>
      <c r="M65" s="1">
        <v>15.2</v>
      </c>
      <c r="N65" s="1">
        <v>25</v>
      </c>
      <c r="O65" s="5">
        <v>38868</v>
      </c>
      <c r="P65" s="1">
        <v>60.861611549999999</v>
      </c>
      <c r="Q65" s="1">
        <v>232945</v>
      </c>
    </row>
    <row r="66" spans="1:17" ht="12.75" x14ac:dyDescent="0.35">
      <c r="A66" s="1">
        <v>1380</v>
      </c>
      <c r="B66" s="1">
        <v>1</v>
      </c>
      <c r="C66" s="1">
        <v>2015</v>
      </c>
      <c r="D66" s="1" t="s">
        <v>241</v>
      </c>
      <c r="E66" s="1" t="s">
        <v>776</v>
      </c>
      <c r="F66" s="1">
        <v>22.195</v>
      </c>
      <c r="G66" s="1">
        <v>4.5999999999999996</v>
      </c>
      <c r="H66" s="1">
        <v>200</v>
      </c>
      <c r="I66" s="1">
        <v>114.7</v>
      </c>
      <c r="J66" s="1">
        <v>78.2</v>
      </c>
      <c r="K66" s="1">
        <v>212</v>
      </c>
      <c r="L66" s="1">
        <v>3.9079999999999999</v>
      </c>
      <c r="M66" s="1">
        <v>19</v>
      </c>
      <c r="N66" s="1">
        <v>21</v>
      </c>
      <c r="O66" s="5">
        <v>43369</v>
      </c>
      <c r="P66" s="1">
        <v>80.499536710000001</v>
      </c>
      <c r="Q66" s="1">
        <v>194407</v>
      </c>
    </row>
    <row r="67" spans="1:17" ht="12.75" x14ac:dyDescent="0.35">
      <c r="A67" s="1">
        <v>1076</v>
      </c>
      <c r="B67" s="1">
        <v>1</v>
      </c>
      <c r="C67" s="1">
        <v>2000</v>
      </c>
      <c r="D67" s="1" t="s">
        <v>241</v>
      </c>
      <c r="E67" s="1" t="s">
        <v>782</v>
      </c>
      <c r="F67" s="1">
        <v>26.934999999999999</v>
      </c>
      <c r="G67" s="1">
        <v>4.5999999999999996</v>
      </c>
      <c r="H67" s="1">
        <v>220</v>
      </c>
      <c r="I67" s="1">
        <v>138.5</v>
      </c>
      <c r="J67" s="1">
        <v>79.099999999999994</v>
      </c>
      <c r="K67" s="1">
        <v>224.5</v>
      </c>
      <c r="L67" s="1">
        <v>4.2409999999999997</v>
      </c>
      <c r="M67" s="1">
        <v>25.1</v>
      </c>
      <c r="N67" s="1">
        <v>18</v>
      </c>
      <c r="O67" s="5">
        <v>38580</v>
      </c>
      <c r="P67" s="1">
        <v>89.401934729999994</v>
      </c>
      <c r="Q67" s="1">
        <v>282752</v>
      </c>
    </row>
    <row r="68" spans="1:17" ht="12.75" x14ac:dyDescent="0.35">
      <c r="A68" s="1">
        <v>1006</v>
      </c>
      <c r="B68" s="1">
        <v>1</v>
      </c>
      <c r="C68" s="1">
        <v>2021</v>
      </c>
      <c r="D68" s="1" t="s">
        <v>142</v>
      </c>
      <c r="E68" s="1" t="s">
        <v>788</v>
      </c>
      <c r="F68" s="1">
        <v>18.89</v>
      </c>
      <c r="G68" s="1">
        <v>3.1</v>
      </c>
      <c r="H68" s="1">
        <v>175</v>
      </c>
      <c r="I68" s="1">
        <v>107.5</v>
      </c>
      <c r="J68" s="1">
        <v>72.5</v>
      </c>
      <c r="K68" s="1">
        <v>200.9</v>
      </c>
      <c r="L68" s="1">
        <v>3.33</v>
      </c>
      <c r="M68" s="1">
        <v>16.600000000000001</v>
      </c>
      <c r="N68" s="1">
        <v>25</v>
      </c>
      <c r="O68" s="5">
        <v>45436</v>
      </c>
      <c r="P68" s="1">
        <v>69.991395600000004</v>
      </c>
      <c r="Q68" s="1">
        <v>188621</v>
      </c>
    </row>
    <row r="69" spans="1:17" ht="12.75" x14ac:dyDescent="0.35">
      <c r="A69" s="1">
        <v>1112</v>
      </c>
      <c r="B69" s="1">
        <v>1</v>
      </c>
      <c r="C69" s="1">
        <v>2003</v>
      </c>
      <c r="D69" s="1" t="s">
        <v>604</v>
      </c>
      <c r="E69" s="1" t="s">
        <v>793</v>
      </c>
      <c r="F69" s="1">
        <v>17.89</v>
      </c>
      <c r="G69" s="1">
        <v>3.3</v>
      </c>
      <c r="H69" s="1">
        <v>170</v>
      </c>
      <c r="I69" s="1">
        <v>116.1</v>
      </c>
      <c r="J69" s="1">
        <v>66.5</v>
      </c>
      <c r="K69" s="1">
        <v>196.1</v>
      </c>
      <c r="L69" s="1">
        <v>3.2170000000000001</v>
      </c>
      <c r="M69" s="1">
        <v>19.399999999999999</v>
      </c>
      <c r="N69" s="1">
        <v>18</v>
      </c>
      <c r="O69" s="5">
        <v>40417</v>
      </c>
      <c r="P69" s="1">
        <v>67.889270589999995</v>
      </c>
      <c r="Q69" s="1">
        <v>98219</v>
      </c>
    </row>
    <row r="70" spans="1:17" ht="12.75" x14ac:dyDescent="0.35">
      <c r="A70" s="1">
        <v>1199</v>
      </c>
      <c r="B70" s="1">
        <v>2</v>
      </c>
      <c r="C70" s="1">
        <v>2015</v>
      </c>
      <c r="D70" s="1" t="s">
        <v>796</v>
      </c>
      <c r="E70" s="1" t="s">
        <v>797</v>
      </c>
      <c r="F70" s="1">
        <v>14.29</v>
      </c>
      <c r="G70" s="1">
        <v>1.9</v>
      </c>
      <c r="H70" s="1">
        <v>124</v>
      </c>
      <c r="I70" s="1">
        <v>102.4</v>
      </c>
      <c r="J70" s="1">
        <v>66.400000000000006</v>
      </c>
      <c r="K70" s="1">
        <v>176.9</v>
      </c>
      <c r="L70" s="1">
        <v>2.452</v>
      </c>
      <c r="M70" s="1">
        <v>12.1</v>
      </c>
      <c r="N70" s="1">
        <v>31</v>
      </c>
      <c r="O70" s="5">
        <v>44576</v>
      </c>
      <c r="P70" s="1">
        <v>49.865773670000003</v>
      </c>
      <c r="Q70" s="1">
        <v>67466</v>
      </c>
    </row>
    <row r="71" spans="1:17" ht="12.75" x14ac:dyDescent="0.35">
      <c r="A71" s="1">
        <v>1494</v>
      </c>
      <c r="B71" s="1">
        <v>2</v>
      </c>
      <c r="C71" s="1">
        <v>2001</v>
      </c>
      <c r="D71" s="1" t="s">
        <v>115</v>
      </c>
      <c r="E71" s="1" t="s">
        <v>805</v>
      </c>
      <c r="F71" s="1">
        <v>19.989999999999998</v>
      </c>
      <c r="G71" s="1">
        <v>2</v>
      </c>
      <c r="H71" s="1">
        <v>115</v>
      </c>
      <c r="I71" s="1">
        <v>97.4</v>
      </c>
      <c r="J71" s="1">
        <v>66.7</v>
      </c>
      <c r="K71" s="1">
        <v>160.4</v>
      </c>
      <c r="L71" s="1">
        <v>3.0790000000000002</v>
      </c>
      <c r="M71" s="1">
        <v>13.7</v>
      </c>
      <c r="N71" s="1">
        <v>26</v>
      </c>
      <c r="O71" s="5">
        <v>38503</v>
      </c>
      <c r="P71" s="1">
        <v>48.907372250000002</v>
      </c>
      <c r="Q71" s="1">
        <v>120193</v>
      </c>
    </row>
    <row r="72" spans="1:17" ht="12.75" x14ac:dyDescent="0.35">
      <c r="A72" s="1">
        <v>1076</v>
      </c>
      <c r="B72" s="1">
        <v>2</v>
      </c>
      <c r="C72" s="1">
        <v>2008</v>
      </c>
      <c r="D72" s="1" t="s">
        <v>809</v>
      </c>
      <c r="E72" s="1" t="s">
        <v>810</v>
      </c>
      <c r="F72" s="1">
        <v>31.965</v>
      </c>
      <c r="G72" s="1">
        <v>3.8</v>
      </c>
      <c r="H72" s="1">
        <v>205</v>
      </c>
      <c r="I72" s="1">
        <v>113.8</v>
      </c>
      <c r="J72" s="1">
        <v>74.7</v>
      </c>
      <c r="K72" s="1">
        <v>206.8</v>
      </c>
      <c r="L72" s="1">
        <v>3.778</v>
      </c>
      <c r="M72" s="1">
        <v>18.5</v>
      </c>
      <c r="N72" s="1">
        <v>24</v>
      </c>
      <c r="O72" s="5">
        <v>40625</v>
      </c>
      <c r="P72" s="1">
        <v>85.828408249999995</v>
      </c>
      <c r="Q72" s="1">
        <v>236172</v>
      </c>
    </row>
    <row r="73" spans="1:17" ht="12.75" x14ac:dyDescent="0.35">
      <c r="A73" s="1">
        <v>1378</v>
      </c>
      <c r="B73" s="1">
        <v>1</v>
      </c>
      <c r="C73" s="1">
        <v>2011</v>
      </c>
      <c r="D73" s="1" t="s">
        <v>796</v>
      </c>
      <c r="E73" s="1" t="s">
        <v>813</v>
      </c>
      <c r="F73" s="1">
        <v>18.835000000000001</v>
      </c>
      <c r="G73" s="1">
        <v>2.2000000000000002</v>
      </c>
      <c r="H73" s="1">
        <v>137</v>
      </c>
      <c r="I73" s="1">
        <v>106.5</v>
      </c>
      <c r="J73" s="1">
        <v>69</v>
      </c>
      <c r="K73" s="1">
        <v>190.4</v>
      </c>
      <c r="L73" s="1">
        <v>3.0750000000000002</v>
      </c>
      <c r="M73" s="1">
        <v>13.1</v>
      </c>
      <c r="N73" s="1">
        <v>27</v>
      </c>
      <c r="O73" s="5">
        <v>42952</v>
      </c>
      <c r="P73" s="1">
        <v>56.295243040000003</v>
      </c>
      <c r="Q73" s="1">
        <v>156691</v>
      </c>
    </row>
    <row r="74" spans="1:17" ht="12.75" x14ac:dyDescent="0.35">
      <c r="A74" s="1">
        <v>1249</v>
      </c>
      <c r="B74" s="1">
        <v>1</v>
      </c>
      <c r="C74" s="1">
        <v>2016</v>
      </c>
      <c r="D74" s="1" t="s">
        <v>142</v>
      </c>
      <c r="E74" s="1" t="s">
        <v>816</v>
      </c>
      <c r="F74" s="1">
        <v>19.39</v>
      </c>
      <c r="G74" s="1">
        <v>3.4</v>
      </c>
      <c r="H74" s="1">
        <v>180</v>
      </c>
      <c r="I74" s="1">
        <v>110.5</v>
      </c>
      <c r="J74" s="1">
        <v>72.7</v>
      </c>
      <c r="K74" s="1">
        <v>197.9</v>
      </c>
      <c r="L74" s="1">
        <v>3.34</v>
      </c>
      <c r="M74" s="1">
        <v>17</v>
      </c>
      <c r="N74" s="1">
        <v>27</v>
      </c>
      <c r="O74" s="5">
        <v>45648</v>
      </c>
      <c r="P74" s="1">
        <v>72.030917189999997</v>
      </c>
      <c r="Q74" s="1">
        <v>53528</v>
      </c>
    </row>
    <row r="75" spans="1:17" ht="12.75" x14ac:dyDescent="0.35">
      <c r="A75" s="1">
        <v>1285</v>
      </c>
      <c r="B75" s="1">
        <v>1</v>
      </c>
      <c r="C75" s="1">
        <v>2019</v>
      </c>
      <c r="D75" s="1" t="s">
        <v>821</v>
      </c>
      <c r="E75" s="1" t="s">
        <v>822</v>
      </c>
      <c r="F75" s="1">
        <v>42.8</v>
      </c>
      <c r="G75" s="1">
        <v>3</v>
      </c>
      <c r="H75" s="1">
        <v>240</v>
      </c>
      <c r="I75" s="1">
        <v>114.5</v>
      </c>
      <c r="J75" s="1">
        <v>71.599999999999994</v>
      </c>
      <c r="K75" s="1">
        <v>191.3</v>
      </c>
      <c r="L75" s="1">
        <v>3.65</v>
      </c>
      <c r="M75" s="1">
        <v>18.399999999999999</v>
      </c>
      <c r="N75" s="1">
        <v>21</v>
      </c>
      <c r="O75" s="5">
        <v>44868</v>
      </c>
      <c r="P75" s="1">
        <v>102.17898479999999</v>
      </c>
      <c r="Q75" s="1">
        <v>234341</v>
      </c>
    </row>
    <row r="76" spans="1:17" ht="12.75" x14ac:dyDescent="0.35">
      <c r="A76" s="1">
        <v>1381</v>
      </c>
      <c r="B76" s="1">
        <v>1</v>
      </c>
      <c r="C76" s="1">
        <v>2009</v>
      </c>
      <c r="D76" s="1" t="s">
        <v>281</v>
      </c>
      <c r="E76" s="1" t="s">
        <v>827</v>
      </c>
      <c r="F76" s="1">
        <v>19.047000000000001</v>
      </c>
      <c r="G76" s="1">
        <v>2.4</v>
      </c>
      <c r="H76" s="1">
        <v>154</v>
      </c>
      <c r="I76" s="1">
        <v>100.8</v>
      </c>
      <c r="J76" s="1">
        <v>68.900000000000006</v>
      </c>
      <c r="K76" s="1">
        <v>175.4</v>
      </c>
      <c r="L76" s="1">
        <v>2.91</v>
      </c>
      <c r="M76" s="1">
        <v>15.9</v>
      </c>
      <c r="N76" s="1">
        <v>24</v>
      </c>
      <c r="O76" s="5">
        <v>41237</v>
      </c>
      <c r="P76" s="1">
        <v>62.441962349999997</v>
      </c>
      <c r="Q76" s="1">
        <v>70769</v>
      </c>
    </row>
    <row r="77" spans="1:17" ht="12.75" x14ac:dyDescent="0.35">
      <c r="A77" s="1">
        <v>1096</v>
      </c>
      <c r="B77" s="1">
        <v>2</v>
      </c>
      <c r="C77" s="1">
        <v>2010</v>
      </c>
      <c r="D77" s="1" t="s">
        <v>241</v>
      </c>
      <c r="E77" s="1" t="s">
        <v>831</v>
      </c>
      <c r="F77" s="1">
        <v>17.035</v>
      </c>
      <c r="G77" s="1">
        <v>2.5</v>
      </c>
      <c r="H77" s="1">
        <v>170</v>
      </c>
      <c r="I77" s="1">
        <v>106.5</v>
      </c>
      <c r="J77" s="1">
        <v>69.099999999999994</v>
      </c>
      <c r="K77" s="1">
        <v>184.6</v>
      </c>
      <c r="L77" s="1">
        <v>2.7690000000000001</v>
      </c>
      <c r="M77" s="1">
        <v>15</v>
      </c>
      <c r="N77" s="1">
        <v>25</v>
      </c>
      <c r="O77" s="5">
        <v>41871</v>
      </c>
      <c r="P77" s="1">
        <v>67.351010720000005</v>
      </c>
      <c r="Q77" s="1">
        <v>215005</v>
      </c>
    </row>
    <row r="78" spans="1:17" ht="12.75" x14ac:dyDescent="0.35">
      <c r="A78" s="1">
        <v>1479</v>
      </c>
      <c r="B78" s="1">
        <v>1</v>
      </c>
      <c r="C78" s="1">
        <v>2015</v>
      </c>
      <c r="D78" s="1" t="s">
        <v>365</v>
      </c>
      <c r="E78" s="1" t="s">
        <v>835</v>
      </c>
      <c r="F78" s="1">
        <v>26</v>
      </c>
      <c r="G78" s="1">
        <v>3.5</v>
      </c>
      <c r="H78" s="1">
        <v>210</v>
      </c>
      <c r="I78" s="1">
        <v>118.1</v>
      </c>
      <c r="J78" s="1">
        <v>75.599999999999994</v>
      </c>
      <c r="K78" s="1">
        <v>201.2</v>
      </c>
      <c r="L78" s="1">
        <v>4.2880000000000003</v>
      </c>
      <c r="M78" s="1">
        <v>20</v>
      </c>
      <c r="N78" s="1">
        <v>23</v>
      </c>
      <c r="O78" s="5">
        <v>43504</v>
      </c>
      <c r="P78" s="1">
        <v>85.217691340000002</v>
      </c>
      <c r="Q78" s="1">
        <v>288152</v>
      </c>
    </row>
    <row r="79" spans="1:17" ht="12.75" x14ac:dyDescent="0.35">
      <c r="A79" s="1">
        <v>1033</v>
      </c>
      <c r="B79" s="1">
        <v>1</v>
      </c>
      <c r="C79" s="1">
        <v>2006</v>
      </c>
      <c r="D79" s="1" t="s">
        <v>91</v>
      </c>
      <c r="E79" s="1" t="s">
        <v>840</v>
      </c>
      <c r="F79" s="1">
        <v>20.23</v>
      </c>
      <c r="G79" s="1">
        <v>2.5</v>
      </c>
      <c r="H79" s="1">
        <v>168</v>
      </c>
      <c r="I79" s="1">
        <v>108</v>
      </c>
      <c r="J79" s="1">
        <v>71</v>
      </c>
      <c r="K79" s="1">
        <v>186</v>
      </c>
      <c r="L79" s="1">
        <v>3.0579999999999998</v>
      </c>
      <c r="M79" s="1">
        <v>16</v>
      </c>
      <c r="N79" s="1">
        <v>24</v>
      </c>
      <c r="O79" s="5">
        <v>40482</v>
      </c>
      <c r="P79" s="1">
        <v>67.876107840000003</v>
      </c>
      <c r="Q79" s="1">
        <v>49336</v>
      </c>
    </row>
    <row r="80" spans="1:17" ht="12.75" x14ac:dyDescent="0.35">
      <c r="A80" s="1">
        <v>1104</v>
      </c>
      <c r="B80" s="1">
        <v>1</v>
      </c>
      <c r="C80" s="1">
        <v>2017</v>
      </c>
      <c r="D80" s="1" t="s">
        <v>297</v>
      </c>
      <c r="E80" s="1" t="s">
        <v>845</v>
      </c>
      <c r="F80" s="1">
        <v>35.299999999999997</v>
      </c>
      <c r="G80" s="1">
        <v>3.2</v>
      </c>
      <c r="H80" s="1">
        <v>215</v>
      </c>
      <c r="I80" s="1">
        <v>111</v>
      </c>
      <c r="J80" s="1">
        <v>72.2</v>
      </c>
      <c r="K80" s="1">
        <v>180.6</v>
      </c>
      <c r="L80" s="1">
        <v>4.3869999999999996</v>
      </c>
      <c r="M80" s="1">
        <v>19</v>
      </c>
      <c r="N80" s="1">
        <v>20</v>
      </c>
      <c r="O80" s="5">
        <v>44237</v>
      </c>
      <c r="P80" s="1">
        <v>90.495532130000001</v>
      </c>
      <c r="Q80" s="1">
        <v>152140</v>
      </c>
    </row>
    <row r="81" spans="1:17" ht="12.75" x14ac:dyDescent="0.35">
      <c r="A81" s="1">
        <v>1468</v>
      </c>
      <c r="B81" s="1">
        <v>1</v>
      </c>
      <c r="C81" s="1">
        <v>2008</v>
      </c>
      <c r="D81" s="1" t="s">
        <v>796</v>
      </c>
      <c r="E81" s="1" t="s">
        <v>851</v>
      </c>
      <c r="F81" s="1">
        <v>10.685</v>
      </c>
      <c r="G81" s="1">
        <v>1.9</v>
      </c>
      <c r="H81" s="1">
        <v>100</v>
      </c>
      <c r="I81" s="1">
        <v>102.4</v>
      </c>
      <c r="J81" s="1">
        <v>66.400000000000006</v>
      </c>
      <c r="K81" s="1">
        <v>176.9</v>
      </c>
      <c r="L81" s="1">
        <v>2.3319999999999999</v>
      </c>
      <c r="M81" s="1">
        <v>12.1</v>
      </c>
      <c r="N81" s="1">
        <v>33</v>
      </c>
      <c r="O81" s="5">
        <v>42598</v>
      </c>
      <c r="P81" s="1">
        <v>39.986424749999998</v>
      </c>
      <c r="Q81" s="1">
        <v>258852</v>
      </c>
    </row>
    <row r="82" spans="1:17" ht="12.75" x14ac:dyDescent="0.35">
      <c r="A82" s="1">
        <v>1394</v>
      </c>
      <c r="B82" s="1">
        <v>1</v>
      </c>
      <c r="C82" s="1">
        <v>2022</v>
      </c>
      <c r="D82" s="1" t="s">
        <v>447</v>
      </c>
      <c r="E82" s="1" t="s">
        <v>855</v>
      </c>
      <c r="F82" s="1">
        <v>29.184999999999999</v>
      </c>
      <c r="G82" s="1">
        <v>3.5</v>
      </c>
      <c r="H82" s="1">
        <v>253</v>
      </c>
      <c r="I82" s="1">
        <v>113</v>
      </c>
      <c r="J82" s="1">
        <v>74.400000000000006</v>
      </c>
      <c r="K82" s="1">
        <v>197.8</v>
      </c>
      <c r="L82" s="1">
        <v>3.5670000000000002</v>
      </c>
      <c r="M82" s="1">
        <v>17</v>
      </c>
      <c r="N82" s="1">
        <v>23</v>
      </c>
      <c r="O82" s="5">
        <v>45698</v>
      </c>
      <c r="P82" s="1">
        <v>101.6552441</v>
      </c>
      <c r="Q82" s="1">
        <v>216349</v>
      </c>
    </row>
    <row r="83" spans="1:17" ht="12.75" x14ac:dyDescent="0.35">
      <c r="A83" s="1">
        <v>1466</v>
      </c>
      <c r="B83" s="1">
        <v>1</v>
      </c>
      <c r="C83" s="1">
        <v>2014</v>
      </c>
      <c r="D83" s="1" t="s">
        <v>281</v>
      </c>
      <c r="E83" s="1" t="s">
        <v>856</v>
      </c>
      <c r="F83" s="1">
        <v>25.45</v>
      </c>
      <c r="G83" s="1">
        <v>3</v>
      </c>
      <c r="H83" s="1">
        <v>161</v>
      </c>
      <c r="I83" s="1">
        <v>97.2</v>
      </c>
      <c r="J83" s="1">
        <v>72.400000000000006</v>
      </c>
      <c r="K83" s="1">
        <v>180.3</v>
      </c>
      <c r="L83" s="1">
        <v>3.1309999999999998</v>
      </c>
      <c r="M83" s="1">
        <v>19.8</v>
      </c>
      <c r="N83" s="1">
        <v>21</v>
      </c>
      <c r="O83" s="5">
        <v>42915</v>
      </c>
      <c r="P83" s="1">
        <v>67.544154939999999</v>
      </c>
      <c r="Q83" s="1">
        <v>146859</v>
      </c>
    </row>
    <row r="84" spans="1:17" ht="12.75" x14ac:dyDescent="0.35">
      <c r="A84" s="1">
        <v>1348</v>
      </c>
      <c r="B84" s="1">
        <v>1</v>
      </c>
      <c r="C84" s="1">
        <v>2000</v>
      </c>
      <c r="D84" s="1" t="s">
        <v>310</v>
      </c>
      <c r="E84" s="1" t="s">
        <v>861</v>
      </c>
      <c r="F84" s="1">
        <v>22.51</v>
      </c>
      <c r="G84" s="1">
        <v>3.3</v>
      </c>
      <c r="H84" s="1">
        <v>170</v>
      </c>
      <c r="I84" s="1">
        <v>112.2</v>
      </c>
      <c r="J84" s="1">
        <v>74.900000000000006</v>
      </c>
      <c r="K84" s="1">
        <v>194.7</v>
      </c>
      <c r="L84" s="1">
        <v>3.944</v>
      </c>
      <c r="M84" s="1">
        <v>20</v>
      </c>
      <c r="N84" s="1">
        <v>21</v>
      </c>
      <c r="O84" s="5">
        <v>38645</v>
      </c>
      <c r="P84" s="1">
        <v>69.671460999999994</v>
      </c>
      <c r="Q84" s="1">
        <v>225117</v>
      </c>
    </row>
    <row r="85" spans="1:17" ht="12.75" x14ac:dyDescent="0.35">
      <c r="A85" s="1">
        <v>1067</v>
      </c>
      <c r="B85" s="1">
        <v>1</v>
      </c>
      <c r="C85" s="1">
        <v>2004</v>
      </c>
      <c r="D85" s="1" t="s">
        <v>548</v>
      </c>
      <c r="E85" s="1" t="s">
        <v>865</v>
      </c>
      <c r="F85" s="1">
        <v>39.664999999999999</v>
      </c>
      <c r="G85" s="1">
        <v>4.5999999999999996</v>
      </c>
      <c r="H85" s="1">
        <v>275</v>
      </c>
      <c r="I85" s="1">
        <v>108</v>
      </c>
      <c r="J85" s="1">
        <v>75.5</v>
      </c>
      <c r="K85" s="1">
        <v>200.6</v>
      </c>
      <c r="L85" s="1">
        <v>3.843</v>
      </c>
      <c r="M85" s="1">
        <v>19</v>
      </c>
      <c r="N85" s="1">
        <v>22</v>
      </c>
      <c r="O85" s="5">
        <v>39413</v>
      </c>
      <c r="P85" s="1">
        <v>113.7658739</v>
      </c>
      <c r="Q85" s="1">
        <v>155361</v>
      </c>
    </row>
    <row r="86" spans="1:17" ht="12.75" x14ac:dyDescent="0.35">
      <c r="A86" s="1">
        <v>1288</v>
      </c>
      <c r="B86" s="1">
        <v>2</v>
      </c>
      <c r="C86" s="1">
        <v>2009</v>
      </c>
      <c r="D86" s="1" t="s">
        <v>191</v>
      </c>
      <c r="E86" s="1" t="s">
        <v>870</v>
      </c>
      <c r="F86" s="1">
        <v>16.875</v>
      </c>
      <c r="G86" s="1">
        <v>1.8</v>
      </c>
      <c r="H86" s="1">
        <v>140</v>
      </c>
      <c r="I86" s="1">
        <v>102.4</v>
      </c>
      <c r="J86" s="1">
        <v>68.3</v>
      </c>
      <c r="K86" s="1">
        <v>170.5</v>
      </c>
      <c r="L86" s="1">
        <v>2.4249999999999998</v>
      </c>
      <c r="M86" s="1">
        <v>14.5</v>
      </c>
      <c r="N86" s="1">
        <v>31</v>
      </c>
      <c r="O86" s="5">
        <v>42002</v>
      </c>
      <c r="P86" s="1">
        <v>56.496030339999997</v>
      </c>
      <c r="Q86" s="1">
        <v>223905</v>
      </c>
    </row>
    <row r="87" spans="1:17" ht="12.75" x14ac:dyDescent="0.35">
      <c r="A87" s="1">
        <v>1132</v>
      </c>
      <c r="B87" s="1">
        <v>2</v>
      </c>
      <c r="C87" s="1">
        <v>2010</v>
      </c>
      <c r="D87" s="1" t="s">
        <v>191</v>
      </c>
      <c r="E87" s="1" t="s">
        <v>872</v>
      </c>
      <c r="F87" s="1">
        <v>22.288</v>
      </c>
      <c r="G87" s="1">
        <v>2.7</v>
      </c>
      <c r="H87" s="1">
        <v>150</v>
      </c>
      <c r="I87" s="1">
        <v>105.3</v>
      </c>
      <c r="J87" s="1">
        <v>66.5</v>
      </c>
      <c r="K87" s="1">
        <v>183.3</v>
      </c>
      <c r="L87" s="1">
        <v>3.44</v>
      </c>
      <c r="M87" s="1">
        <v>18.5</v>
      </c>
      <c r="N87" s="1">
        <v>23</v>
      </c>
      <c r="O87" s="5">
        <v>42436</v>
      </c>
      <c r="P87" s="1">
        <v>62.35557713</v>
      </c>
      <c r="Q87" s="1">
        <v>90484</v>
      </c>
    </row>
    <row r="88" spans="1:17" ht="12.75" x14ac:dyDescent="0.35">
      <c r="A88" s="1">
        <v>1378</v>
      </c>
      <c r="B88" s="1">
        <v>2</v>
      </c>
      <c r="C88" s="1">
        <v>2011</v>
      </c>
      <c r="D88" s="1" t="s">
        <v>97</v>
      </c>
      <c r="E88" s="1" t="s">
        <v>876</v>
      </c>
      <c r="F88" s="1">
        <v>36</v>
      </c>
      <c r="G88" s="1">
        <v>2.9</v>
      </c>
      <c r="H88" s="1">
        <v>201</v>
      </c>
      <c r="I88" s="1">
        <v>109.9</v>
      </c>
      <c r="J88" s="1">
        <v>72.099999999999994</v>
      </c>
      <c r="K88" s="1">
        <v>189.8</v>
      </c>
      <c r="L88" s="1">
        <v>3.6</v>
      </c>
      <c r="M88" s="1">
        <v>21.1</v>
      </c>
      <c r="N88" s="1">
        <v>24</v>
      </c>
      <c r="O88" s="5">
        <v>43418</v>
      </c>
      <c r="P88" s="1">
        <v>85.735654510000003</v>
      </c>
      <c r="Q88" s="1">
        <v>87990</v>
      </c>
    </row>
    <row r="89" spans="1:17" ht="12.75" x14ac:dyDescent="0.35">
      <c r="A89" s="1">
        <v>1416</v>
      </c>
      <c r="B89" s="1">
        <v>1</v>
      </c>
      <c r="C89" s="1">
        <v>2008</v>
      </c>
      <c r="D89" s="1" t="s">
        <v>447</v>
      </c>
      <c r="E89" s="1" t="s">
        <v>880</v>
      </c>
      <c r="F89" s="1"/>
      <c r="G89" s="1"/>
      <c r="H89" s="1"/>
      <c r="I89" s="1"/>
      <c r="J89" s="1"/>
      <c r="K89" s="1"/>
      <c r="L89" s="1"/>
      <c r="M89" s="1"/>
      <c r="N89" s="1"/>
      <c r="O89" s="5">
        <v>42564</v>
      </c>
      <c r="P89" s="1"/>
      <c r="Q89" s="1">
        <v>257947</v>
      </c>
    </row>
    <row r="90" spans="1:17" ht="12.75" x14ac:dyDescent="0.35">
      <c r="A90" s="1">
        <v>1352</v>
      </c>
      <c r="B90" s="1">
        <v>1</v>
      </c>
      <c r="C90" s="1">
        <v>2008</v>
      </c>
      <c r="D90" s="1" t="s">
        <v>310</v>
      </c>
      <c r="E90" s="1" t="s">
        <v>884</v>
      </c>
      <c r="F90" s="1">
        <v>27.56</v>
      </c>
      <c r="G90" s="1">
        <v>4</v>
      </c>
      <c r="H90" s="1">
        <v>210</v>
      </c>
      <c r="I90" s="1">
        <v>111.6</v>
      </c>
      <c r="J90" s="1">
        <v>70.2</v>
      </c>
      <c r="K90" s="1">
        <v>190.1</v>
      </c>
      <c r="L90" s="1">
        <v>3.8759999999999999</v>
      </c>
      <c r="M90" s="1">
        <v>21</v>
      </c>
      <c r="N90" s="1">
        <v>18</v>
      </c>
      <c r="O90" s="5">
        <v>42413</v>
      </c>
      <c r="P90" s="1">
        <v>85.949744249999995</v>
      </c>
      <c r="Q90" s="1">
        <v>137028</v>
      </c>
    </row>
    <row r="91" spans="1:17" ht="12.75" x14ac:dyDescent="0.35">
      <c r="A91" s="1">
        <v>1074</v>
      </c>
      <c r="B91" s="1">
        <v>1</v>
      </c>
      <c r="C91" s="1">
        <v>2006</v>
      </c>
      <c r="D91" s="1" t="s">
        <v>61</v>
      </c>
      <c r="E91" s="1" t="s">
        <v>887</v>
      </c>
      <c r="F91" s="1">
        <v>43.33</v>
      </c>
      <c r="G91" s="1">
        <v>4.5999999999999996</v>
      </c>
      <c r="H91" s="1">
        <v>215</v>
      </c>
      <c r="I91" s="1">
        <v>117.7</v>
      </c>
      <c r="J91" s="1">
        <v>78.2</v>
      </c>
      <c r="K91" s="1">
        <v>215.3</v>
      </c>
      <c r="L91" s="1">
        <v>4.1210000000000004</v>
      </c>
      <c r="M91" s="1">
        <v>19</v>
      </c>
      <c r="N91" s="1">
        <v>21</v>
      </c>
      <c r="O91" s="5">
        <v>40698</v>
      </c>
      <c r="P91" s="1">
        <v>93.957916900000001</v>
      </c>
      <c r="Q91" s="1">
        <v>232187</v>
      </c>
    </row>
    <row r="92" spans="1:17" ht="12.75" x14ac:dyDescent="0.35">
      <c r="A92" s="1">
        <v>1054</v>
      </c>
      <c r="B92" s="1">
        <v>1</v>
      </c>
      <c r="C92" s="1">
        <v>2009</v>
      </c>
      <c r="D92" s="1" t="s">
        <v>191</v>
      </c>
      <c r="E92" s="1" t="s">
        <v>888</v>
      </c>
      <c r="F92" s="1">
        <v>16.888000000000002</v>
      </c>
      <c r="G92" s="1">
        <v>2</v>
      </c>
      <c r="H92" s="1">
        <v>127</v>
      </c>
      <c r="I92" s="1">
        <v>94.9</v>
      </c>
      <c r="J92" s="1">
        <v>66.7</v>
      </c>
      <c r="K92" s="1">
        <v>163.80000000000001</v>
      </c>
      <c r="L92" s="1">
        <v>2.6680000000000001</v>
      </c>
      <c r="M92" s="1">
        <v>15.3</v>
      </c>
      <c r="N92" s="1">
        <v>27</v>
      </c>
      <c r="O92" s="5">
        <v>42496</v>
      </c>
      <c r="P92" s="1">
        <v>51.955108869999997</v>
      </c>
      <c r="Q92" s="1">
        <v>278231</v>
      </c>
    </row>
    <row r="93" spans="1:17" ht="12.75" x14ac:dyDescent="0.35">
      <c r="A93" s="1">
        <v>1049</v>
      </c>
      <c r="B93" s="1">
        <v>1</v>
      </c>
      <c r="C93" s="1">
        <v>2011</v>
      </c>
      <c r="D93" s="1" t="s">
        <v>83</v>
      </c>
      <c r="E93" s="1" t="s">
        <v>891</v>
      </c>
      <c r="F93" s="1">
        <v>18.27</v>
      </c>
      <c r="G93" s="1">
        <v>2.4</v>
      </c>
      <c r="H93" s="1">
        <v>150</v>
      </c>
      <c r="I93" s="1">
        <v>107</v>
      </c>
      <c r="J93" s="1">
        <v>70.099999999999994</v>
      </c>
      <c r="K93" s="1">
        <v>186.7</v>
      </c>
      <c r="L93" s="1">
        <v>2.9580000000000002</v>
      </c>
      <c r="M93" s="1">
        <v>15</v>
      </c>
      <c r="N93" s="1">
        <v>27</v>
      </c>
      <c r="O93" s="5">
        <v>43758</v>
      </c>
      <c r="P93" s="1">
        <v>60.727446929999999</v>
      </c>
      <c r="Q93" s="1">
        <v>225246</v>
      </c>
    </row>
    <row r="94" spans="1:17" ht="12.75" x14ac:dyDescent="0.35">
      <c r="A94" s="1">
        <v>1232</v>
      </c>
      <c r="B94" s="1">
        <v>1</v>
      </c>
      <c r="C94" s="1">
        <v>2012</v>
      </c>
      <c r="D94" s="1" t="s">
        <v>91</v>
      </c>
      <c r="E94" s="1" t="s">
        <v>896</v>
      </c>
      <c r="F94" s="1">
        <v>19.045000000000002</v>
      </c>
      <c r="G94" s="1">
        <v>2.5</v>
      </c>
      <c r="H94" s="1">
        <v>163</v>
      </c>
      <c r="I94" s="1">
        <v>103.7</v>
      </c>
      <c r="J94" s="1">
        <v>69.099999999999994</v>
      </c>
      <c r="K94" s="1">
        <v>190.2</v>
      </c>
      <c r="L94" s="1">
        <v>2.879</v>
      </c>
      <c r="M94" s="1">
        <v>15.9</v>
      </c>
      <c r="N94" s="1">
        <v>24</v>
      </c>
      <c r="O94" s="5">
        <v>43647</v>
      </c>
      <c r="P94" s="1">
        <v>65.650508340000002</v>
      </c>
      <c r="Q94" s="1">
        <v>250652</v>
      </c>
    </row>
    <row r="95" spans="1:17" ht="12.75" x14ac:dyDescent="0.35">
      <c r="A95" s="1">
        <v>1119</v>
      </c>
      <c r="B95" s="1">
        <v>2</v>
      </c>
      <c r="C95" s="1">
        <v>2018</v>
      </c>
      <c r="D95" s="1" t="s">
        <v>115</v>
      </c>
      <c r="E95" s="1" t="s">
        <v>897</v>
      </c>
      <c r="F95" s="1">
        <v>15.9</v>
      </c>
      <c r="G95" s="1">
        <v>2</v>
      </c>
      <c r="H95" s="1">
        <v>115</v>
      </c>
      <c r="I95" s="1">
        <v>98.9</v>
      </c>
      <c r="J95" s="1">
        <v>67.900000000000006</v>
      </c>
      <c r="K95" s="1">
        <v>161.1</v>
      </c>
      <c r="L95" s="1">
        <v>2.7690000000000001</v>
      </c>
      <c r="M95" s="1">
        <v>14.5</v>
      </c>
      <c r="N95" s="1">
        <v>26</v>
      </c>
      <c r="O95" s="5">
        <v>44489</v>
      </c>
      <c r="P95" s="1">
        <v>47.329632259999997</v>
      </c>
      <c r="Q95" s="1">
        <v>168799</v>
      </c>
    </row>
    <row r="96" spans="1:17" ht="12.75" x14ac:dyDescent="0.35">
      <c r="A96" s="1">
        <v>1326</v>
      </c>
      <c r="B96" s="1">
        <v>1</v>
      </c>
      <c r="C96" s="1">
        <v>2003</v>
      </c>
      <c r="D96" s="1" t="s">
        <v>297</v>
      </c>
      <c r="E96" s="1" t="s">
        <v>904</v>
      </c>
      <c r="F96" s="1">
        <v>82.6</v>
      </c>
      <c r="G96" s="1">
        <v>5</v>
      </c>
      <c r="H96" s="1">
        <v>302</v>
      </c>
      <c r="I96" s="1">
        <v>99</v>
      </c>
      <c r="J96" s="1">
        <v>71.3</v>
      </c>
      <c r="K96" s="1">
        <v>177.1</v>
      </c>
      <c r="L96" s="1">
        <v>4.125</v>
      </c>
      <c r="M96" s="1">
        <v>21.1</v>
      </c>
      <c r="N96" s="1">
        <v>20</v>
      </c>
      <c r="O96" s="5">
        <v>39158</v>
      </c>
      <c r="P96" s="1">
        <v>139.98229359999999</v>
      </c>
      <c r="Q96" s="1">
        <v>232959</v>
      </c>
    </row>
    <row r="97" spans="1:17" ht="12.75" x14ac:dyDescent="0.35">
      <c r="A97" s="1">
        <v>1085</v>
      </c>
      <c r="B97" s="1">
        <v>1</v>
      </c>
      <c r="C97" s="1">
        <v>2019</v>
      </c>
      <c r="D97" s="1" t="s">
        <v>297</v>
      </c>
      <c r="E97" s="1" t="s">
        <v>909</v>
      </c>
      <c r="F97" s="1">
        <v>85.5</v>
      </c>
      <c r="G97" s="1">
        <v>5</v>
      </c>
      <c r="H97" s="1">
        <v>302</v>
      </c>
      <c r="I97" s="1">
        <v>113.6</v>
      </c>
      <c r="J97" s="1">
        <v>73.099999999999994</v>
      </c>
      <c r="K97" s="1">
        <v>196.6</v>
      </c>
      <c r="L97" s="1">
        <v>4.1150000000000002</v>
      </c>
      <c r="M97" s="1">
        <v>23.2</v>
      </c>
      <c r="N97" s="1">
        <v>20</v>
      </c>
      <c r="O97" s="5">
        <v>45027</v>
      </c>
      <c r="P97" s="1">
        <v>141.10098450000001</v>
      </c>
      <c r="Q97" s="1">
        <v>127350</v>
      </c>
    </row>
    <row r="98" spans="1:17" ht="12.75" x14ac:dyDescent="0.35">
      <c r="A98" s="1">
        <v>1024</v>
      </c>
      <c r="B98" s="1">
        <v>1</v>
      </c>
      <c r="C98" s="1">
        <v>2018</v>
      </c>
      <c r="D98" s="1" t="s">
        <v>809</v>
      </c>
      <c r="E98" s="1" t="s">
        <v>912</v>
      </c>
      <c r="F98" s="1">
        <v>25.3</v>
      </c>
      <c r="G98" s="1">
        <v>3.8</v>
      </c>
      <c r="H98" s="1">
        <v>240</v>
      </c>
      <c r="I98" s="1">
        <v>109</v>
      </c>
      <c r="J98" s="1">
        <v>72.7</v>
      </c>
      <c r="K98" s="1">
        <v>196.2</v>
      </c>
      <c r="L98" s="1">
        <v>3.5430000000000001</v>
      </c>
      <c r="M98" s="1">
        <v>17.5</v>
      </c>
      <c r="N98" s="1">
        <v>23</v>
      </c>
      <c r="O98" s="5">
        <v>45172</v>
      </c>
      <c r="P98" s="1">
        <v>95.636702529999994</v>
      </c>
      <c r="Q98" s="1">
        <v>228493</v>
      </c>
    </row>
    <row r="99" spans="1:17" ht="12.75" x14ac:dyDescent="0.35">
      <c r="A99" s="1">
        <v>1166</v>
      </c>
      <c r="B99" s="1">
        <v>1</v>
      </c>
      <c r="C99" s="1">
        <v>2011</v>
      </c>
      <c r="D99" s="1" t="s">
        <v>91</v>
      </c>
      <c r="E99" s="1" t="s">
        <v>917</v>
      </c>
      <c r="F99" s="1">
        <v>19.565000000000001</v>
      </c>
      <c r="G99" s="1">
        <v>2.4</v>
      </c>
      <c r="H99" s="1">
        <v>150</v>
      </c>
      <c r="I99" s="1">
        <v>113.3</v>
      </c>
      <c r="J99" s="1">
        <v>76.8</v>
      </c>
      <c r="K99" s="1">
        <v>186.3</v>
      </c>
      <c r="L99" s="1">
        <v>3.5329999999999999</v>
      </c>
      <c r="M99" s="1">
        <v>20</v>
      </c>
      <c r="N99" s="1">
        <v>24</v>
      </c>
      <c r="O99" s="5">
        <v>43344</v>
      </c>
      <c r="P99" s="1">
        <v>61.227000310000001</v>
      </c>
      <c r="Q99" s="1">
        <v>155738</v>
      </c>
    </row>
    <row r="100" spans="1:17" ht="12.75" x14ac:dyDescent="0.35">
      <c r="A100" s="1">
        <v>1140</v>
      </c>
      <c r="B100" s="1">
        <v>1</v>
      </c>
      <c r="C100" s="1">
        <v>2012</v>
      </c>
      <c r="D100" s="1" t="s">
        <v>310</v>
      </c>
      <c r="E100" s="1" t="s">
        <v>923</v>
      </c>
      <c r="F100" s="1">
        <v>19.035</v>
      </c>
      <c r="G100" s="1">
        <v>3</v>
      </c>
      <c r="H100" s="1">
        <v>153</v>
      </c>
      <c r="I100" s="1">
        <v>108.5</v>
      </c>
      <c r="J100" s="1">
        <v>73</v>
      </c>
      <c r="K100" s="1">
        <v>199.7</v>
      </c>
      <c r="L100" s="1">
        <v>3.379</v>
      </c>
      <c r="M100" s="1">
        <v>16</v>
      </c>
      <c r="N100" s="1">
        <v>24</v>
      </c>
      <c r="O100" s="5">
        <v>43000</v>
      </c>
      <c r="P100" s="1">
        <v>62.239966629999998</v>
      </c>
      <c r="Q100" s="1">
        <v>76930</v>
      </c>
    </row>
    <row r="101" spans="1:17" ht="12.75" x14ac:dyDescent="0.35">
      <c r="A101" s="1">
        <v>1177</v>
      </c>
      <c r="B101" s="1">
        <v>1</v>
      </c>
      <c r="C101" s="1">
        <v>2003</v>
      </c>
      <c r="D101" s="1" t="s">
        <v>406</v>
      </c>
      <c r="E101" s="1" t="s">
        <v>927</v>
      </c>
      <c r="F101" s="1">
        <v>33.4</v>
      </c>
      <c r="G101" s="1">
        <v>2.8</v>
      </c>
      <c r="H101" s="1">
        <v>193</v>
      </c>
      <c r="I101" s="1">
        <v>107.3</v>
      </c>
      <c r="J101" s="1">
        <v>68.5</v>
      </c>
      <c r="K101" s="1">
        <v>176</v>
      </c>
      <c r="L101" s="1">
        <v>3.1970000000000001</v>
      </c>
      <c r="M101" s="1">
        <v>16.600000000000001</v>
      </c>
      <c r="N101" s="1">
        <v>24</v>
      </c>
      <c r="O101" s="5">
        <v>39111</v>
      </c>
      <c r="P101" s="1">
        <v>81.877068559999998</v>
      </c>
      <c r="Q101" s="1">
        <v>166918</v>
      </c>
    </row>
    <row r="102" spans="1:17" ht="12.75" x14ac:dyDescent="0.35">
      <c r="A102" s="1">
        <v>1463</v>
      </c>
      <c r="B102" s="1">
        <v>1</v>
      </c>
      <c r="C102" s="1">
        <v>2015</v>
      </c>
      <c r="D102" s="1" t="s">
        <v>447</v>
      </c>
      <c r="E102" s="1" t="s">
        <v>931</v>
      </c>
      <c r="F102" s="1">
        <v>24.495000000000001</v>
      </c>
      <c r="G102" s="1">
        <v>2.5</v>
      </c>
      <c r="H102" s="1">
        <v>168</v>
      </c>
      <c r="I102" s="1">
        <v>106</v>
      </c>
      <c r="J102" s="1">
        <v>69.2</v>
      </c>
      <c r="K102" s="1">
        <v>193</v>
      </c>
      <c r="L102" s="1">
        <v>3.3319999999999999</v>
      </c>
      <c r="M102" s="1">
        <v>16</v>
      </c>
      <c r="N102" s="1">
        <v>24</v>
      </c>
      <c r="O102" s="5">
        <v>45247</v>
      </c>
      <c r="P102" s="1">
        <v>69.521355049999997</v>
      </c>
      <c r="Q102" s="1">
        <v>94663</v>
      </c>
    </row>
    <row r="103" spans="1:17" ht="12.75" x14ac:dyDescent="0.35">
      <c r="A103" s="1">
        <v>1329</v>
      </c>
      <c r="B103" s="1">
        <v>1</v>
      </c>
      <c r="C103" s="1">
        <v>2002</v>
      </c>
      <c r="D103" s="1" t="s">
        <v>214</v>
      </c>
      <c r="E103" s="1" t="s">
        <v>936</v>
      </c>
      <c r="F103" s="1">
        <v>14.46</v>
      </c>
      <c r="G103" s="1">
        <v>2.5</v>
      </c>
      <c r="H103" s="1">
        <v>120</v>
      </c>
      <c r="I103" s="1">
        <v>93.4</v>
      </c>
      <c r="J103" s="1">
        <v>66.7</v>
      </c>
      <c r="K103" s="1">
        <v>152</v>
      </c>
      <c r="L103" s="1">
        <v>3.0449999999999999</v>
      </c>
      <c r="M103" s="1">
        <v>19</v>
      </c>
      <c r="N103" s="1">
        <v>17</v>
      </c>
      <c r="O103" s="5">
        <v>40241</v>
      </c>
      <c r="P103" s="1">
        <v>48.672897910000003</v>
      </c>
      <c r="Q103" s="1">
        <v>215110</v>
      </c>
    </row>
    <row r="104" spans="1:17" ht="12.75" x14ac:dyDescent="0.35">
      <c r="A104" s="1">
        <v>1489</v>
      </c>
      <c r="B104" s="1">
        <v>1</v>
      </c>
      <c r="C104" s="1">
        <v>2012</v>
      </c>
      <c r="D104" s="1" t="s">
        <v>142</v>
      </c>
      <c r="E104" s="1" t="s">
        <v>940</v>
      </c>
      <c r="F104" s="1">
        <v>24.34</v>
      </c>
      <c r="G104" s="1">
        <v>3.8</v>
      </c>
      <c r="H104" s="1">
        <v>200</v>
      </c>
      <c r="I104" s="1">
        <v>101.1</v>
      </c>
      <c r="J104" s="1">
        <v>74.099999999999994</v>
      </c>
      <c r="K104" s="1">
        <v>193.2</v>
      </c>
      <c r="L104" s="1">
        <v>3.5</v>
      </c>
      <c r="M104" s="1">
        <v>16.8</v>
      </c>
      <c r="N104" s="1">
        <v>25</v>
      </c>
      <c r="O104" s="5">
        <v>42666</v>
      </c>
      <c r="P104" s="1">
        <v>81.118543329999994</v>
      </c>
      <c r="Q104" s="1">
        <v>298862</v>
      </c>
    </row>
    <row r="105" spans="1:17" ht="12.75" x14ac:dyDescent="0.35">
      <c r="A105" s="1">
        <v>1438</v>
      </c>
      <c r="B105" s="1">
        <v>2</v>
      </c>
      <c r="C105" s="1">
        <v>2011</v>
      </c>
      <c r="D105" s="1" t="s">
        <v>327</v>
      </c>
      <c r="E105" s="1" t="s">
        <v>270</v>
      </c>
      <c r="F105" s="1">
        <v>12.64</v>
      </c>
      <c r="G105" s="1">
        <v>2</v>
      </c>
      <c r="H105" s="1">
        <v>132</v>
      </c>
      <c r="I105" s="1">
        <v>105</v>
      </c>
      <c r="J105" s="1">
        <v>74.400000000000006</v>
      </c>
      <c r="K105" s="1">
        <v>174.4</v>
      </c>
      <c r="L105" s="1">
        <v>2.5590000000000002</v>
      </c>
      <c r="M105" s="1">
        <v>12.5</v>
      </c>
      <c r="N105" s="1">
        <v>29</v>
      </c>
      <c r="O105" s="5">
        <v>42120</v>
      </c>
      <c r="P105" s="1">
        <v>52.084898750000001</v>
      </c>
      <c r="Q105" s="1">
        <v>189619</v>
      </c>
    </row>
    <row r="106" spans="1:17" ht="12.75" x14ac:dyDescent="0.35">
      <c r="A106" s="1">
        <v>1217</v>
      </c>
      <c r="B106" s="1">
        <v>1</v>
      </c>
      <c r="C106" s="1">
        <v>2016</v>
      </c>
      <c r="D106" s="1" t="s">
        <v>214</v>
      </c>
      <c r="E106" s="1" t="s">
        <v>949</v>
      </c>
      <c r="F106" s="1">
        <v>21.62</v>
      </c>
      <c r="G106" s="1">
        <v>4</v>
      </c>
      <c r="H106" s="1">
        <v>190</v>
      </c>
      <c r="I106" s="1">
        <v>101.4</v>
      </c>
      <c r="J106" s="1">
        <v>69.400000000000006</v>
      </c>
      <c r="K106" s="1">
        <v>167.5</v>
      </c>
      <c r="L106" s="1">
        <v>3.194</v>
      </c>
      <c r="M106" s="1">
        <v>20</v>
      </c>
      <c r="N106" s="1">
        <v>20</v>
      </c>
      <c r="O106" s="5">
        <v>43743</v>
      </c>
      <c r="P106" s="1">
        <v>76.584439619999998</v>
      </c>
      <c r="Q106" s="1">
        <v>86076</v>
      </c>
    </row>
    <row r="107" spans="1:17" ht="12.75" x14ac:dyDescent="0.35">
      <c r="A107" s="1">
        <v>1286</v>
      </c>
      <c r="B107" s="1">
        <v>1</v>
      </c>
      <c r="C107" s="1">
        <v>2007</v>
      </c>
      <c r="D107" s="1" t="s">
        <v>954</v>
      </c>
      <c r="E107" s="1" t="s">
        <v>956</v>
      </c>
      <c r="F107" s="1">
        <v>29.465</v>
      </c>
      <c r="G107" s="1">
        <v>3</v>
      </c>
      <c r="H107" s="1">
        <v>227</v>
      </c>
      <c r="I107" s="1">
        <v>108.3</v>
      </c>
      <c r="J107" s="1">
        <v>70.2</v>
      </c>
      <c r="K107" s="1">
        <v>193.7</v>
      </c>
      <c r="L107" s="1">
        <v>3.3420000000000001</v>
      </c>
      <c r="M107" s="1">
        <v>18.5</v>
      </c>
      <c r="N107" s="1">
        <v>25</v>
      </c>
      <c r="O107" s="5">
        <v>40283</v>
      </c>
      <c r="P107" s="1">
        <v>92.436889230000006</v>
      </c>
      <c r="Q107" s="1">
        <v>199222</v>
      </c>
    </row>
    <row r="108" spans="1:17" ht="12.75" x14ac:dyDescent="0.35">
      <c r="A108" s="1">
        <v>1265</v>
      </c>
      <c r="B108" s="1">
        <v>2</v>
      </c>
      <c r="C108" s="1">
        <v>2022</v>
      </c>
      <c r="D108" s="1" t="s">
        <v>191</v>
      </c>
      <c r="E108" s="1" t="s">
        <v>959</v>
      </c>
      <c r="F108" s="1">
        <v>51.728000000000002</v>
      </c>
      <c r="G108" s="1">
        <v>4.7</v>
      </c>
      <c r="H108" s="1">
        <v>230</v>
      </c>
      <c r="I108" s="1">
        <v>112.2</v>
      </c>
      <c r="J108" s="1">
        <v>76.400000000000006</v>
      </c>
      <c r="K108" s="1">
        <v>192.5</v>
      </c>
      <c r="L108" s="1">
        <v>5.1150000000000002</v>
      </c>
      <c r="M108" s="1">
        <v>25.4</v>
      </c>
      <c r="N108" s="1">
        <v>15</v>
      </c>
      <c r="O108" s="5">
        <v>45925</v>
      </c>
      <c r="P108" s="1">
        <v>102.5289842</v>
      </c>
      <c r="Q108" s="1">
        <v>179077</v>
      </c>
    </row>
    <row r="109" spans="1:17" ht="12.75" x14ac:dyDescent="0.35">
      <c r="A109" s="1">
        <v>1137</v>
      </c>
      <c r="B109" s="1">
        <v>1</v>
      </c>
      <c r="C109" s="1">
        <v>2005</v>
      </c>
      <c r="D109" s="1" t="s">
        <v>281</v>
      </c>
      <c r="E109" s="1" t="s">
        <v>964</v>
      </c>
      <c r="F109" s="1">
        <v>22.527000000000001</v>
      </c>
      <c r="G109" s="1">
        <v>3</v>
      </c>
      <c r="H109" s="1">
        <v>173</v>
      </c>
      <c r="I109" s="1">
        <v>107.3</v>
      </c>
      <c r="J109" s="1">
        <v>66.7</v>
      </c>
      <c r="K109" s="1">
        <v>178.3</v>
      </c>
      <c r="L109" s="1">
        <v>3.51</v>
      </c>
      <c r="M109" s="1">
        <v>19.5</v>
      </c>
      <c r="N109" s="1">
        <v>20</v>
      </c>
      <c r="O109" s="5">
        <v>41047</v>
      </c>
      <c r="P109" s="1">
        <v>70.660941789999995</v>
      </c>
      <c r="Q109" s="1">
        <v>184816</v>
      </c>
    </row>
    <row r="110" spans="1:17" ht="12.75" x14ac:dyDescent="0.35">
      <c r="A110" s="1">
        <v>1257</v>
      </c>
      <c r="B110" s="1">
        <v>2</v>
      </c>
      <c r="C110" s="1">
        <v>2002</v>
      </c>
      <c r="D110" s="1" t="s">
        <v>241</v>
      </c>
      <c r="E110" s="1" t="s">
        <v>968</v>
      </c>
      <c r="F110" s="1">
        <v>21.56</v>
      </c>
      <c r="G110" s="1">
        <v>3.8</v>
      </c>
      <c r="H110" s="1">
        <v>190</v>
      </c>
      <c r="I110" s="1">
        <v>101.3</v>
      </c>
      <c r="J110" s="1">
        <v>73.099999999999994</v>
      </c>
      <c r="K110" s="1">
        <v>183.2</v>
      </c>
      <c r="L110" s="1">
        <v>3.2029999999999998</v>
      </c>
      <c r="M110" s="1">
        <v>15.7</v>
      </c>
      <c r="N110" s="1">
        <v>24</v>
      </c>
      <c r="O110" s="5">
        <v>40209</v>
      </c>
      <c r="P110" s="1">
        <v>76.509184559999994</v>
      </c>
      <c r="Q110" s="1">
        <v>213741</v>
      </c>
    </row>
    <row r="111" spans="1:17" ht="12.75" x14ac:dyDescent="0.35">
      <c r="A111" s="1">
        <v>1380</v>
      </c>
      <c r="B111" s="1">
        <v>2</v>
      </c>
      <c r="C111" s="1">
        <v>2014</v>
      </c>
      <c r="D111" s="1" t="s">
        <v>406</v>
      </c>
      <c r="E111" s="1" t="s">
        <v>973</v>
      </c>
      <c r="F111" s="1">
        <v>26.99</v>
      </c>
      <c r="G111" s="1">
        <v>2.5</v>
      </c>
      <c r="H111" s="1">
        <v>170</v>
      </c>
      <c r="I111" s="1">
        <v>107.3</v>
      </c>
      <c r="J111" s="1">
        <v>68.400000000000006</v>
      </c>
      <c r="K111" s="1">
        <v>176</v>
      </c>
      <c r="L111" s="1">
        <v>3.1789999999999998</v>
      </c>
      <c r="M111" s="1">
        <v>16.600000000000001</v>
      </c>
      <c r="N111" s="1">
        <v>26</v>
      </c>
      <c r="O111" s="5">
        <v>43644</v>
      </c>
      <c r="P111" s="1">
        <v>71.191206710000003</v>
      </c>
      <c r="Q111" s="1">
        <v>237851</v>
      </c>
    </row>
    <row r="112" spans="1:17" ht="12.75" x14ac:dyDescent="0.35">
      <c r="A112" s="1">
        <v>1435</v>
      </c>
      <c r="B112" s="1">
        <v>2</v>
      </c>
      <c r="C112" s="1">
        <v>2021</v>
      </c>
      <c r="D112" s="1" t="s">
        <v>83</v>
      </c>
      <c r="E112" s="1" t="s">
        <v>978</v>
      </c>
      <c r="F112" s="1">
        <v>31.597999999999999</v>
      </c>
      <c r="G112" s="1">
        <v>4.3</v>
      </c>
      <c r="H112" s="1">
        <v>190</v>
      </c>
      <c r="I112" s="1">
        <v>107</v>
      </c>
      <c r="J112" s="1">
        <v>67.8</v>
      </c>
      <c r="K112" s="1">
        <v>181.2</v>
      </c>
      <c r="L112" s="1">
        <v>4.0679999999999996</v>
      </c>
      <c r="M112" s="1">
        <v>17.5</v>
      </c>
      <c r="N112" s="1">
        <v>19</v>
      </c>
      <c r="O112" s="5">
        <v>45556</v>
      </c>
      <c r="P112" s="1">
        <v>80.511672590000003</v>
      </c>
      <c r="Q112" s="1">
        <v>77901</v>
      </c>
    </row>
    <row r="113" spans="1:17" ht="12.75" x14ac:dyDescent="0.35">
      <c r="A113" s="1">
        <v>1166</v>
      </c>
      <c r="B113" s="1">
        <v>2</v>
      </c>
      <c r="C113" s="1">
        <v>2011</v>
      </c>
      <c r="D113" s="1" t="s">
        <v>501</v>
      </c>
      <c r="E113" s="1" t="s">
        <v>982</v>
      </c>
      <c r="F113" s="1">
        <v>28.4</v>
      </c>
      <c r="G113" s="1">
        <v>3.2</v>
      </c>
      <c r="H113" s="1">
        <v>225</v>
      </c>
      <c r="I113" s="1">
        <v>108.1</v>
      </c>
      <c r="J113" s="1">
        <v>70.3</v>
      </c>
      <c r="K113" s="1">
        <v>192.9</v>
      </c>
      <c r="L113" s="1">
        <v>3.5169999999999999</v>
      </c>
      <c r="M113" s="1">
        <v>17.2</v>
      </c>
      <c r="N113" s="1">
        <v>25</v>
      </c>
      <c r="O113" s="5">
        <v>42158</v>
      </c>
      <c r="P113" s="1">
        <v>91.370777660000002</v>
      </c>
      <c r="Q113" s="1">
        <v>143586</v>
      </c>
    </row>
    <row r="114" spans="1:17" ht="12.75" x14ac:dyDescent="0.35">
      <c r="A114" s="1">
        <v>1121</v>
      </c>
      <c r="B114" s="1">
        <v>1</v>
      </c>
      <c r="C114" s="1">
        <v>2018</v>
      </c>
      <c r="D114" s="1" t="s">
        <v>91</v>
      </c>
      <c r="E114" s="1" t="s">
        <v>988</v>
      </c>
      <c r="F114" s="1">
        <v>19.46</v>
      </c>
      <c r="G114" s="1">
        <v>5.2</v>
      </c>
      <c r="H114" s="1">
        <v>230</v>
      </c>
      <c r="I114" s="1">
        <v>138.69999999999999</v>
      </c>
      <c r="J114" s="1">
        <v>79.3</v>
      </c>
      <c r="K114" s="1">
        <v>224.2</v>
      </c>
      <c r="L114" s="1">
        <v>4.47</v>
      </c>
      <c r="M114" s="1">
        <v>26</v>
      </c>
      <c r="N114" s="1">
        <v>17</v>
      </c>
      <c r="O114" s="5">
        <v>45357</v>
      </c>
      <c r="P114" s="1">
        <v>90.211700050000005</v>
      </c>
      <c r="Q114" s="1">
        <v>260003</v>
      </c>
    </row>
    <row r="115" spans="1:17" ht="12.75" x14ac:dyDescent="0.35">
      <c r="A115" s="1">
        <v>1411</v>
      </c>
      <c r="B115" s="1">
        <v>1</v>
      </c>
      <c r="C115" s="1">
        <v>2019</v>
      </c>
      <c r="D115" s="1" t="s">
        <v>142</v>
      </c>
      <c r="E115" s="1" t="s">
        <v>992</v>
      </c>
      <c r="F115" s="1">
        <v>16.535</v>
      </c>
      <c r="G115" s="1">
        <v>3.1</v>
      </c>
      <c r="H115" s="1">
        <v>170</v>
      </c>
      <c r="I115" s="1">
        <v>107</v>
      </c>
      <c r="J115" s="1">
        <v>69.400000000000006</v>
      </c>
      <c r="K115" s="1">
        <v>190.4</v>
      </c>
      <c r="L115" s="1">
        <v>3.0510000000000002</v>
      </c>
      <c r="M115" s="1">
        <v>15</v>
      </c>
      <c r="N115" s="1">
        <v>25</v>
      </c>
      <c r="O115" s="5">
        <v>44639</v>
      </c>
      <c r="P115" s="1">
        <v>67.314462160000005</v>
      </c>
      <c r="Q115" s="1">
        <v>148159</v>
      </c>
    </row>
    <row r="116" spans="1:17" ht="12.75" x14ac:dyDescent="0.35">
      <c r="A116" s="1">
        <v>1323</v>
      </c>
      <c r="B116" s="1">
        <v>1</v>
      </c>
      <c r="C116" s="1">
        <v>2021</v>
      </c>
      <c r="D116" s="1" t="s">
        <v>91</v>
      </c>
      <c r="E116" s="1" t="s">
        <v>997</v>
      </c>
      <c r="F116" s="1">
        <v>18.574999999999999</v>
      </c>
      <c r="G116" s="1">
        <v>3.9</v>
      </c>
      <c r="H116" s="1">
        <v>175</v>
      </c>
      <c r="I116" s="1">
        <v>127.2</v>
      </c>
      <c r="J116" s="1">
        <v>78.8</v>
      </c>
      <c r="K116" s="1">
        <v>208.5</v>
      </c>
      <c r="L116" s="1">
        <v>4.298</v>
      </c>
      <c r="M116" s="1">
        <v>32</v>
      </c>
      <c r="N116" s="1">
        <v>16</v>
      </c>
      <c r="O116" s="5">
        <v>45499</v>
      </c>
      <c r="P116" s="1">
        <v>70.078321540000005</v>
      </c>
      <c r="Q116" s="1">
        <v>99624</v>
      </c>
    </row>
    <row r="117" spans="1:17" ht="12.75" x14ac:dyDescent="0.35">
      <c r="A117" s="1">
        <v>1004</v>
      </c>
      <c r="B117" s="1">
        <v>1</v>
      </c>
      <c r="C117" s="1">
        <v>2005</v>
      </c>
      <c r="D117" s="1" t="s">
        <v>548</v>
      </c>
      <c r="E117" s="1" t="s">
        <v>1002</v>
      </c>
      <c r="F117" s="1">
        <v>44.475000000000001</v>
      </c>
      <c r="G117" s="1">
        <v>4.5999999999999996</v>
      </c>
      <c r="H117" s="1">
        <v>275</v>
      </c>
      <c r="I117" s="1">
        <v>112.2</v>
      </c>
      <c r="J117" s="1">
        <v>75</v>
      </c>
      <c r="K117" s="1">
        <v>201</v>
      </c>
      <c r="L117" s="1"/>
      <c r="M117" s="1">
        <v>18.5</v>
      </c>
      <c r="N117" s="1">
        <v>22</v>
      </c>
      <c r="O117" s="5">
        <v>40662</v>
      </c>
      <c r="P117" s="1">
        <v>115.6213578</v>
      </c>
      <c r="Q117" s="1">
        <v>117283</v>
      </c>
    </row>
    <row r="118" spans="1:17" ht="12.75" x14ac:dyDescent="0.35">
      <c r="A118" s="1">
        <v>1040</v>
      </c>
      <c r="B118" s="1">
        <v>1</v>
      </c>
      <c r="C118" s="1">
        <v>2001</v>
      </c>
      <c r="D118" s="1" t="s">
        <v>255</v>
      </c>
      <c r="E118" s="1" t="s">
        <v>1007</v>
      </c>
      <c r="F118" s="1">
        <v>25.635000000000002</v>
      </c>
      <c r="G118" s="1">
        <v>3.4</v>
      </c>
      <c r="H118" s="1">
        <v>185</v>
      </c>
      <c r="I118" s="1">
        <v>120</v>
      </c>
      <c r="J118" s="1">
        <v>72.7</v>
      </c>
      <c r="K118" s="1">
        <v>201.3</v>
      </c>
      <c r="L118" s="1">
        <v>3.9420000000000002</v>
      </c>
      <c r="M118" s="1">
        <v>25</v>
      </c>
      <c r="N118" s="1">
        <v>23</v>
      </c>
      <c r="O118" s="5">
        <v>38555</v>
      </c>
      <c r="P118" s="1">
        <v>76.208439519999999</v>
      </c>
      <c r="Q118" s="1">
        <v>294640</v>
      </c>
    </row>
    <row r="119" spans="1:17" ht="12.75" x14ac:dyDescent="0.35">
      <c r="A119" s="1">
        <v>1375</v>
      </c>
      <c r="B119" s="1">
        <v>1</v>
      </c>
      <c r="C119" s="1">
        <v>2005</v>
      </c>
      <c r="D119" s="1" t="s">
        <v>809</v>
      </c>
      <c r="E119" s="1" t="s">
        <v>1011</v>
      </c>
      <c r="F119" s="1">
        <v>27.885000000000002</v>
      </c>
      <c r="G119" s="1">
        <v>3.8</v>
      </c>
      <c r="H119" s="1">
        <v>205</v>
      </c>
      <c r="I119" s="1">
        <v>112.2</v>
      </c>
      <c r="J119" s="1">
        <v>73.5</v>
      </c>
      <c r="K119" s="1">
        <v>200</v>
      </c>
      <c r="L119" s="1">
        <v>3.5910000000000002</v>
      </c>
      <c r="M119" s="1">
        <v>17.5</v>
      </c>
      <c r="N119" s="1">
        <v>25</v>
      </c>
      <c r="O119" s="5">
        <v>40017</v>
      </c>
      <c r="P119" s="1">
        <v>84.254525810000004</v>
      </c>
      <c r="Q119" s="1">
        <v>90979</v>
      </c>
    </row>
    <row r="120" spans="1:17" ht="12.75" x14ac:dyDescent="0.35">
      <c r="A120" s="1">
        <v>1445</v>
      </c>
      <c r="B120" s="1">
        <v>1</v>
      </c>
      <c r="C120" s="1">
        <v>2005</v>
      </c>
      <c r="D120" s="1" t="s">
        <v>669</v>
      </c>
      <c r="E120" s="1" t="s">
        <v>1014</v>
      </c>
      <c r="F120" s="1">
        <v>37.805</v>
      </c>
      <c r="G120" s="1">
        <v>3</v>
      </c>
      <c r="H120" s="1">
        <v>225</v>
      </c>
      <c r="I120" s="1">
        <v>110.2</v>
      </c>
      <c r="J120" s="1">
        <v>70.900000000000006</v>
      </c>
      <c r="K120" s="1">
        <v>189.2</v>
      </c>
      <c r="L120" s="1">
        <v>3.6379999999999999</v>
      </c>
      <c r="M120" s="1">
        <v>19.8</v>
      </c>
      <c r="N120" s="1">
        <v>23</v>
      </c>
      <c r="O120" s="5">
        <v>39943</v>
      </c>
      <c r="P120" s="1">
        <v>94.946698400000002</v>
      </c>
      <c r="Q120" s="1">
        <v>51706</v>
      </c>
    </row>
    <row r="121" spans="1:17" ht="12.75" x14ac:dyDescent="0.35">
      <c r="A121" s="1">
        <v>1369</v>
      </c>
      <c r="B121" s="1">
        <v>1</v>
      </c>
      <c r="C121" s="1">
        <v>2018</v>
      </c>
      <c r="D121" s="1" t="s">
        <v>604</v>
      </c>
      <c r="E121" s="1" t="s">
        <v>1018</v>
      </c>
      <c r="F121" s="1">
        <v>13.499000000000001</v>
      </c>
      <c r="G121" s="1">
        <v>1.8</v>
      </c>
      <c r="H121" s="1">
        <v>126</v>
      </c>
      <c r="I121" s="1">
        <v>99.8</v>
      </c>
      <c r="J121" s="1">
        <v>67.3</v>
      </c>
      <c r="K121" s="1">
        <v>177.5</v>
      </c>
      <c r="L121" s="1">
        <v>2.593</v>
      </c>
      <c r="M121" s="1">
        <v>13.2</v>
      </c>
      <c r="N121" s="1">
        <v>30</v>
      </c>
      <c r="O121" s="5">
        <v>45169</v>
      </c>
      <c r="P121" s="1">
        <v>50.241977910000003</v>
      </c>
      <c r="Q121" s="1">
        <v>155451</v>
      </c>
    </row>
    <row r="122" spans="1:17" ht="12.75" x14ac:dyDescent="0.35">
      <c r="A122" s="1">
        <v>1081</v>
      </c>
      <c r="B122" s="1">
        <v>1</v>
      </c>
      <c r="C122" s="1">
        <v>2020</v>
      </c>
      <c r="D122" s="1" t="s">
        <v>297</v>
      </c>
      <c r="E122" s="1" t="s">
        <v>1021</v>
      </c>
      <c r="F122" s="1">
        <v>69.7</v>
      </c>
      <c r="G122" s="1">
        <v>4.3</v>
      </c>
      <c r="H122" s="1">
        <v>275</v>
      </c>
      <c r="I122" s="1">
        <v>121.5</v>
      </c>
      <c r="J122" s="1">
        <v>73.099999999999994</v>
      </c>
      <c r="K122" s="1">
        <v>203.1</v>
      </c>
      <c r="L122" s="1">
        <v>4.133</v>
      </c>
      <c r="M122" s="1">
        <v>23.2</v>
      </c>
      <c r="N122" s="1">
        <v>21</v>
      </c>
      <c r="O122" s="5">
        <v>45090</v>
      </c>
      <c r="P122" s="1">
        <v>125.2738757</v>
      </c>
      <c r="Q122" s="1">
        <v>252177</v>
      </c>
    </row>
    <row r="123" spans="1:17" ht="12.75" x14ac:dyDescent="0.35">
      <c r="A123" s="1">
        <v>1039</v>
      </c>
      <c r="B123" s="1">
        <v>1</v>
      </c>
      <c r="C123" s="1">
        <v>2017</v>
      </c>
      <c r="D123" s="1" t="s">
        <v>91</v>
      </c>
      <c r="E123" s="1" t="s">
        <v>1025</v>
      </c>
      <c r="F123" s="1">
        <v>16.98</v>
      </c>
      <c r="G123" s="1">
        <v>2.5</v>
      </c>
      <c r="H123" s="1">
        <v>120</v>
      </c>
      <c r="I123" s="1">
        <v>131</v>
      </c>
      <c r="J123" s="1">
        <v>71.5</v>
      </c>
      <c r="K123" s="1">
        <v>215</v>
      </c>
      <c r="L123" s="1">
        <v>3.5569999999999999</v>
      </c>
      <c r="M123" s="1">
        <v>22</v>
      </c>
      <c r="N123" s="1">
        <v>19</v>
      </c>
      <c r="O123" s="5">
        <v>44525</v>
      </c>
      <c r="P123" s="1">
        <v>49.64500177</v>
      </c>
      <c r="Q123" s="1">
        <v>59025</v>
      </c>
    </row>
    <row r="124" spans="1:17" ht="12.75" x14ac:dyDescent="0.35">
      <c r="A124" s="1">
        <v>1480</v>
      </c>
      <c r="B124" s="1">
        <v>1</v>
      </c>
      <c r="C124" s="1">
        <v>2018</v>
      </c>
      <c r="D124" s="1" t="s">
        <v>809</v>
      </c>
      <c r="E124" s="1" t="s">
        <v>1030</v>
      </c>
      <c r="F124" s="1">
        <v>21.975000000000001</v>
      </c>
      <c r="G124" s="1">
        <v>3.1</v>
      </c>
      <c r="H124" s="1">
        <v>175</v>
      </c>
      <c r="I124" s="1">
        <v>109</v>
      </c>
      <c r="J124" s="1">
        <v>72.7</v>
      </c>
      <c r="K124" s="1">
        <v>194.6</v>
      </c>
      <c r="L124" s="1">
        <v>3.3679999999999999</v>
      </c>
      <c r="M124" s="1">
        <v>17.5</v>
      </c>
      <c r="N124" s="1">
        <v>25</v>
      </c>
      <c r="O124" s="5">
        <v>44867</v>
      </c>
      <c r="P124" s="1">
        <v>71.181451319999994</v>
      </c>
      <c r="Q124" s="1">
        <v>80974</v>
      </c>
    </row>
    <row r="125" spans="1:17" ht="12.75" x14ac:dyDescent="0.35">
      <c r="A125" s="1">
        <v>1088</v>
      </c>
      <c r="B125" s="1">
        <v>1</v>
      </c>
      <c r="C125" s="1">
        <v>2015</v>
      </c>
      <c r="D125" s="1" t="s">
        <v>281</v>
      </c>
      <c r="E125" s="1" t="s">
        <v>1037</v>
      </c>
      <c r="F125" s="1">
        <v>31.806999999999999</v>
      </c>
      <c r="G125" s="1">
        <v>3.5</v>
      </c>
      <c r="H125" s="1">
        <v>200</v>
      </c>
      <c r="I125" s="1">
        <v>107.3</v>
      </c>
      <c r="J125" s="1">
        <v>69.900000000000006</v>
      </c>
      <c r="K125" s="1">
        <v>186.6</v>
      </c>
      <c r="L125" s="1">
        <v>4.5199999999999996</v>
      </c>
      <c r="M125" s="1">
        <v>24.3</v>
      </c>
      <c r="N125" s="1">
        <v>18</v>
      </c>
      <c r="O125" s="5">
        <v>43117</v>
      </c>
      <c r="P125" s="1">
        <v>83.920815039999994</v>
      </c>
      <c r="Q125" s="1">
        <v>101713</v>
      </c>
    </row>
    <row r="126" spans="1:17" ht="12.75" x14ac:dyDescent="0.35">
      <c r="A126" s="1">
        <v>1134</v>
      </c>
      <c r="B126" s="1">
        <v>1</v>
      </c>
      <c r="C126" s="1">
        <v>2010</v>
      </c>
      <c r="D126" s="1" t="s">
        <v>142</v>
      </c>
      <c r="E126" s="1" t="s">
        <v>1042</v>
      </c>
      <c r="F126" s="1">
        <v>13.96</v>
      </c>
      <c r="G126" s="1">
        <v>1.8</v>
      </c>
      <c r="H126" s="1">
        <v>120</v>
      </c>
      <c r="I126" s="1">
        <v>97.1</v>
      </c>
      <c r="J126" s="1">
        <v>66.7</v>
      </c>
      <c r="K126" s="1">
        <v>174.3</v>
      </c>
      <c r="L126" s="1">
        <v>2.3980000000000001</v>
      </c>
      <c r="M126" s="1">
        <v>13.2</v>
      </c>
      <c r="N126" s="1">
        <v>33</v>
      </c>
      <c r="O126" s="5">
        <v>42258</v>
      </c>
      <c r="P126" s="1">
        <v>48.297636099999998</v>
      </c>
      <c r="Q126" s="1">
        <v>86300</v>
      </c>
    </row>
    <row r="127" spans="1:17" ht="12.75" x14ac:dyDescent="0.35">
      <c r="A127" s="1">
        <v>1339</v>
      </c>
      <c r="B127" s="1">
        <v>1</v>
      </c>
      <c r="C127" s="1">
        <v>2003</v>
      </c>
      <c r="D127" s="1" t="s">
        <v>447</v>
      </c>
      <c r="E127" s="1" t="s">
        <v>1045</v>
      </c>
      <c r="F127" s="1">
        <v>22.245000000000001</v>
      </c>
      <c r="G127" s="1">
        <v>2.7</v>
      </c>
      <c r="H127" s="1">
        <v>200</v>
      </c>
      <c r="I127" s="1">
        <v>113</v>
      </c>
      <c r="J127" s="1">
        <v>74.400000000000006</v>
      </c>
      <c r="K127" s="1">
        <v>209.1</v>
      </c>
      <c r="L127" s="1">
        <v>3.452</v>
      </c>
      <c r="M127" s="1">
        <v>17</v>
      </c>
      <c r="N127" s="1">
        <v>26</v>
      </c>
      <c r="O127" s="5">
        <v>39239</v>
      </c>
      <c r="P127" s="1">
        <v>80.02378204</v>
      </c>
      <c r="Q127" s="1">
        <v>145013</v>
      </c>
    </row>
    <row r="128" spans="1:17" ht="12.75" x14ac:dyDescent="0.35">
      <c r="A128" s="1">
        <v>1310</v>
      </c>
      <c r="B128" s="1">
        <v>1</v>
      </c>
      <c r="C128" s="1">
        <v>2015</v>
      </c>
      <c r="D128" s="1" t="s">
        <v>604</v>
      </c>
      <c r="E128" s="1" t="s">
        <v>1049</v>
      </c>
      <c r="F128" s="1">
        <v>20.39</v>
      </c>
      <c r="G128" s="1">
        <v>2.4</v>
      </c>
      <c r="H128" s="1">
        <v>155</v>
      </c>
      <c r="I128" s="1">
        <v>103.1</v>
      </c>
      <c r="J128" s="1">
        <v>69.099999999999994</v>
      </c>
      <c r="K128" s="1">
        <v>183.5</v>
      </c>
      <c r="L128" s="1">
        <v>3.012</v>
      </c>
      <c r="M128" s="1">
        <v>15.9</v>
      </c>
      <c r="N128" s="1">
        <v>25</v>
      </c>
      <c r="O128" s="5">
        <v>44410</v>
      </c>
      <c r="P128" s="1">
        <v>63.313727829999998</v>
      </c>
      <c r="Q128" s="1">
        <v>195064</v>
      </c>
    </row>
    <row r="129" spans="1:17" ht="12.75" x14ac:dyDescent="0.35">
      <c r="A129" s="1">
        <v>1468</v>
      </c>
      <c r="B129" s="1">
        <v>2</v>
      </c>
      <c r="C129" s="1">
        <v>2008</v>
      </c>
      <c r="D129" s="1" t="s">
        <v>97</v>
      </c>
      <c r="E129" s="1" t="s">
        <v>1054</v>
      </c>
      <c r="F129" s="1">
        <v>27.5</v>
      </c>
      <c r="G129" s="1">
        <v>2.4</v>
      </c>
      <c r="H129" s="1">
        <v>168</v>
      </c>
      <c r="I129" s="1">
        <v>104.9</v>
      </c>
      <c r="J129" s="1">
        <v>69.3</v>
      </c>
      <c r="K129" s="1">
        <v>185.9</v>
      </c>
      <c r="L129" s="1">
        <v>3.2080000000000002</v>
      </c>
      <c r="M129" s="1">
        <v>17.899999999999999</v>
      </c>
      <c r="N129" s="1">
        <v>25</v>
      </c>
      <c r="O129" s="5">
        <v>41967</v>
      </c>
      <c r="P129" s="1">
        <v>70.654495449999999</v>
      </c>
      <c r="Q129" s="1">
        <v>64092</v>
      </c>
    </row>
    <row r="130" spans="1:17" ht="12.75" x14ac:dyDescent="0.35">
      <c r="A130" s="1">
        <v>1007</v>
      </c>
      <c r="B130" s="1">
        <v>1</v>
      </c>
      <c r="C130" s="1">
        <v>2013</v>
      </c>
      <c r="D130" s="1" t="s">
        <v>310</v>
      </c>
      <c r="E130" s="1" t="s">
        <v>1058</v>
      </c>
      <c r="F130" s="1">
        <v>16.239999999999998</v>
      </c>
      <c r="G130" s="1">
        <v>2</v>
      </c>
      <c r="H130" s="1">
        <v>125</v>
      </c>
      <c r="I130" s="1">
        <v>106.5</v>
      </c>
      <c r="J130" s="1">
        <v>69.099999999999994</v>
      </c>
      <c r="K130" s="1">
        <v>184.8</v>
      </c>
      <c r="L130" s="1">
        <v>2.7690000000000001</v>
      </c>
      <c r="M130" s="1">
        <v>15</v>
      </c>
      <c r="N130" s="1">
        <v>28</v>
      </c>
      <c r="O130" s="5">
        <v>43088</v>
      </c>
      <c r="P130" s="1">
        <v>50.997747609999998</v>
      </c>
      <c r="Q130" s="1">
        <v>295413</v>
      </c>
    </row>
    <row r="131" spans="1:17" ht="12.75" x14ac:dyDescent="0.35">
      <c r="A131" s="1">
        <v>1040</v>
      </c>
      <c r="B131" s="1">
        <v>2</v>
      </c>
      <c r="C131" s="1">
        <v>2007</v>
      </c>
      <c r="D131" s="1" t="s">
        <v>115</v>
      </c>
      <c r="E131" s="1" t="s">
        <v>1064</v>
      </c>
      <c r="F131" s="1">
        <v>21.2</v>
      </c>
      <c r="G131" s="1">
        <v>1.8</v>
      </c>
      <c r="H131" s="1">
        <v>150</v>
      </c>
      <c r="I131" s="1">
        <v>106.4</v>
      </c>
      <c r="J131" s="1">
        <v>68.5</v>
      </c>
      <c r="K131" s="1">
        <v>184.1</v>
      </c>
      <c r="L131" s="1">
        <v>3.0430000000000001</v>
      </c>
      <c r="M131" s="1">
        <v>16.399999999999999</v>
      </c>
      <c r="N131" s="1">
        <v>27</v>
      </c>
      <c r="O131" s="5">
        <v>40481</v>
      </c>
      <c r="P131" s="1">
        <v>61.701381359999999</v>
      </c>
      <c r="Q131" s="1">
        <v>263088</v>
      </c>
    </row>
    <row r="132" spans="1:17" ht="12.75" x14ac:dyDescent="0.35">
      <c r="A132" s="1">
        <v>1190</v>
      </c>
      <c r="B132" s="1">
        <v>1</v>
      </c>
      <c r="C132" s="1">
        <v>2015</v>
      </c>
      <c r="D132" s="1" t="s">
        <v>669</v>
      </c>
      <c r="E132" s="1" t="s">
        <v>1068</v>
      </c>
      <c r="F132" s="1">
        <v>34.604999999999997</v>
      </c>
      <c r="G132" s="1">
        <v>3</v>
      </c>
      <c r="H132" s="1">
        <v>220</v>
      </c>
      <c r="I132" s="1">
        <v>103</v>
      </c>
      <c r="J132" s="1">
        <v>71.5</v>
      </c>
      <c r="K132" s="1">
        <v>180.1</v>
      </c>
      <c r="L132" s="1">
        <v>3.9</v>
      </c>
      <c r="M132" s="1">
        <v>17.2</v>
      </c>
      <c r="N132" s="1">
        <v>21</v>
      </c>
      <c r="O132" s="5">
        <v>44200</v>
      </c>
      <c r="P132" s="1">
        <v>91.943801559999997</v>
      </c>
      <c r="Q132" s="1">
        <v>123590</v>
      </c>
    </row>
    <row r="133" spans="1:17" ht="12.75" x14ac:dyDescent="0.35">
      <c r="A133" s="1">
        <v>1422</v>
      </c>
      <c r="B133" s="1">
        <v>2</v>
      </c>
      <c r="C133" s="1">
        <v>2004</v>
      </c>
      <c r="D133" s="1" t="s">
        <v>255</v>
      </c>
      <c r="E133" s="1" t="s">
        <v>1075</v>
      </c>
      <c r="F133" s="1">
        <v>21.664999999999999</v>
      </c>
      <c r="G133" s="1">
        <v>3.8</v>
      </c>
      <c r="H133" s="1">
        <v>195</v>
      </c>
      <c r="I133" s="1">
        <v>110.5</v>
      </c>
      <c r="J133" s="1">
        <v>72.7</v>
      </c>
      <c r="K133" s="1">
        <v>196.5</v>
      </c>
      <c r="L133" s="1">
        <v>3.3959999999999999</v>
      </c>
      <c r="M133" s="1">
        <v>18</v>
      </c>
      <c r="N133" s="1">
        <v>25</v>
      </c>
      <c r="O133" s="5">
        <v>40101</v>
      </c>
      <c r="P133" s="1">
        <v>78.318168130000004</v>
      </c>
      <c r="Q133" s="1">
        <v>103327</v>
      </c>
    </row>
    <row r="134" spans="1:17" ht="12.75" x14ac:dyDescent="0.35">
      <c r="A134" s="1">
        <v>1124</v>
      </c>
      <c r="B134" s="1">
        <v>2</v>
      </c>
      <c r="C134" s="1">
        <v>2007</v>
      </c>
      <c r="D134" s="1" t="s">
        <v>587</v>
      </c>
      <c r="E134" s="1" t="s">
        <v>1079</v>
      </c>
      <c r="F134" s="1">
        <v>33.950000000000003</v>
      </c>
      <c r="G134" s="1">
        <v>2.8</v>
      </c>
      <c r="H134" s="1">
        <v>200</v>
      </c>
      <c r="I134" s="1">
        <v>108.7</v>
      </c>
      <c r="J134" s="1">
        <v>76.099999999999994</v>
      </c>
      <c r="K134" s="1">
        <v>192</v>
      </c>
      <c r="L134" s="1">
        <v>3.5609999999999999</v>
      </c>
      <c r="M134" s="1">
        <v>18.5</v>
      </c>
      <c r="N134" s="1">
        <v>22</v>
      </c>
      <c r="O134" s="5">
        <v>40764</v>
      </c>
      <c r="P134" s="1">
        <v>84.565105020000004</v>
      </c>
      <c r="Q134" s="1">
        <v>141610</v>
      </c>
    </row>
    <row r="135" spans="1:17" ht="12.75" x14ac:dyDescent="0.35">
      <c r="A135" s="1">
        <v>1052</v>
      </c>
      <c r="B135" s="1">
        <v>1</v>
      </c>
      <c r="C135" s="1">
        <v>2016</v>
      </c>
      <c r="D135" s="1" t="s">
        <v>669</v>
      </c>
      <c r="E135" s="1" t="s">
        <v>1083</v>
      </c>
      <c r="F135" s="1">
        <v>54.005000000000003</v>
      </c>
      <c r="G135" s="1">
        <v>4</v>
      </c>
      <c r="H135" s="1">
        <v>290</v>
      </c>
      <c r="I135" s="1">
        <v>112.2</v>
      </c>
      <c r="J135" s="1">
        <v>72</v>
      </c>
      <c r="K135" s="1">
        <v>196.7</v>
      </c>
      <c r="L135" s="1">
        <v>3.89</v>
      </c>
      <c r="M135" s="1">
        <v>22.5</v>
      </c>
      <c r="N135" s="1">
        <v>22</v>
      </c>
      <c r="O135" s="5">
        <v>45380</v>
      </c>
      <c r="P135" s="1">
        <v>124.44671630000001</v>
      </c>
      <c r="Q135" s="1">
        <v>92262</v>
      </c>
    </row>
    <row r="136" spans="1:17" ht="12.75" x14ac:dyDescent="0.35">
      <c r="A136" s="1">
        <v>1383</v>
      </c>
      <c r="B136" s="1">
        <v>1</v>
      </c>
      <c r="C136" s="1">
        <v>2012</v>
      </c>
      <c r="D136" s="1" t="s">
        <v>365</v>
      </c>
      <c r="E136" s="1" t="s">
        <v>1084</v>
      </c>
      <c r="F136" s="1">
        <v>26.6</v>
      </c>
      <c r="G136" s="1">
        <v>3.2</v>
      </c>
      <c r="H136" s="1">
        <v>205</v>
      </c>
      <c r="I136" s="1">
        <v>106.4</v>
      </c>
      <c r="J136" s="1">
        <v>70.400000000000006</v>
      </c>
      <c r="K136" s="1">
        <v>178.2</v>
      </c>
      <c r="L136" s="1">
        <v>3.8570000000000002</v>
      </c>
      <c r="M136" s="1">
        <v>21.1</v>
      </c>
      <c r="N136" s="1">
        <v>19</v>
      </c>
      <c r="O136" s="5">
        <v>42652</v>
      </c>
      <c r="P136" s="1">
        <v>83.602500800000001</v>
      </c>
      <c r="Q136" s="1">
        <v>92162</v>
      </c>
    </row>
    <row r="137" spans="1:17" ht="12.75" x14ac:dyDescent="0.35">
      <c r="A137" s="1">
        <v>1357</v>
      </c>
      <c r="B137" s="1">
        <v>1</v>
      </c>
      <c r="C137" s="1">
        <v>2001</v>
      </c>
      <c r="D137" s="1" t="s">
        <v>796</v>
      </c>
      <c r="E137" s="1" t="s">
        <v>1085</v>
      </c>
      <c r="F137" s="1">
        <v>15.01</v>
      </c>
      <c r="G137" s="1">
        <v>2.2000000000000002</v>
      </c>
      <c r="H137" s="1">
        <v>137</v>
      </c>
      <c r="I137" s="1">
        <v>106.5</v>
      </c>
      <c r="J137" s="1">
        <v>69</v>
      </c>
      <c r="K137" s="1">
        <v>190.4</v>
      </c>
      <c r="L137" s="1">
        <v>2.91</v>
      </c>
      <c r="M137" s="1">
        <v>13.1</v>
      </c>
      <c r="N137" s="1">
        <v>28</v>
      </c>
      <c r="O137" s="5">
        <v>39420</v>
      </c>
      <c r="P137" s="1">
        <v>54.819728249999997</v>
      </c>
      <c r="Q137" s="1">
        <v>189028</v>
      </c>
    </row>
    <row r="138" spans="1:17" ht="12.75" x14ac:dyDescent="0.35">
      <c r="A138" s="1">
        <v>1480</v>
      </c>
      <c r="B138" s="1">
        <v>2</v>
      </c>
      <c r="C138" s="1">
        <v>2022</v>
      </c>
      <c r="D138" s="1" t="s">
        <v>241</v>
      </c>
      <c r="E138" s="1" t="s">
        <v>1086</v>
      </c>
      <c r="F138" s="1">
        <v>36.134999999999998</v>
      </c>
      <c r="G138" s="1">
        <v>4.5999999999999996</v>
      </c>
      <c r="H138" s="1">
        <v>240</v>
      </c>
      <c r="I138" s="1">
        <v>119</v>
      </c>
      <c r="J138" s="1">
        <v>78.7</v>
      </c>
      <c r="K138" s="1">
        <v>204.6</v>
      </c>
      <c r="L138" s="1">
        <v>4.8079999999999998</v>
      </c>
      <c r="M138" s="1">
        <v>26</v>
      </c>
      <c r="N138" s="1">
        <v>16</v>
      </c>
      <c r="O138" s="5">
        <v>45914</v>
      </c>
      <c r="P138" s="1">
        <v>100.0248023</v>
      </c>
      <c r="Q138" s="1">
        <v>126389</v>
      </c>
    </row>
    <row r="139" spans="1:17" ht="12.75" x14ac:dyDescent="0.35">
      <c r="A139" s="1">
        <v>1296</v>
      </c>
      <c r="B139" s="1">
        <v>1</v>
      </c>
      <c r="C139" s="1">
        <v>2009</v>
      </c>
      <c r="D139" s="1" t="s">
        <v>91</v>
      </c>
      <c r="E139" s="1" t="s">
        <v>1087</v>
      </c>
      <c r="F139" s="1">
        <v>21.315000000000001</v>
      </c>
      <c r="G139" s="1">
        <v>3.9</v>
      </c>
      <c r="H139" s="1">
        <v>175</v>
      </c>
      <c r="I139" s="1">
        <v>109.6</v>
      </c>
      <c r="J139" s="1">
        <v>78.8</v>
      </c>
      <c r="K139" s="1">
        <v>192.6</v>
      </c>
      <c r="L139" s="1">
        <v>4.2450000000000001</v>
      </c>
      <c r="M139" s="1">
        <v>32</v>
      </c>
      <c r="N139" s="1">
        <v>15</v>
      </c>
      <c r="O139" s="5">
        <v>42375</v>
      </c>
      <c r="P139" s="1">
        <v>71.135291609999996</v>
      </c>
      <c r="Q139" s="1">
        <v>94409</v>
      </c>
    </row>
    <row r="140" spans="1:17" ht="12.75" x14ac:dyDescent="0.35">
      <c r="A140" s="1">
        <v>1340</v>
      </c>
      <c r="B140" s="1">
        <v>1</v>
      </c>
      <c r="C140" s="1">
        <v>2001</v>
      </c>
      <c r="D140" s="1" t="s">
        <v>690</v>
      </c>
      <c r="E140" s="1" t="s">
        <v>1088</v>
      </c>
      <c r="F140" s="1">
        <v>22.695</v>
      </c>
      <c r="G140" s="1">
        <v>2.5</v>
      </c>
      <c r="H140" s="1">
        <v>165</v>
      </c>
      <c r="I140" s="1">
        <v>103.5</v>
      </c>
      <c r="J140" s="1">
        <v>67.5</v>
      </c>
      <c r="K140" s="1">
        <v>185.8</v>
      </c>
      <c r="L140" s="1">
        <v>3.415</v>
      </c>
      <c r="M140" s="1">
        <v>16.899999999999999</v>
      </c>
      <c r="N140" s="1">
        <v>25</v>
      </c>
      <c r="O140" s="5">
        <v>39636</v>
      </c>
      <c r="P140" s="1">
        <v>67.765907600000006</v>
      </c>
      <c r="Q140" s="1">
        <v>233054</v>
      </c>
    </row>
    <row r="141" spans="1:17" ht="12.75" x14ac:dyDescent="0.35">
      <c r="A141" s="1">
        <v>1365</v>
      </c>
      <c r="B141" s="1">
        <v>1</v>
      </c>
      <c r="C141" s="1">
        <v>2008</v>
      </c>
      <c r="D141" s="1" t="s">
        <v>91</v>
      </c>
      <c r="E141" s="1" t="s">
        <v>1089</v>
      </c>
      <c r="F141" s="1">
        <v>69.724999999999994</v>
      </c>
      <c r="G141" s="1">
        <v>8</v>
      </c>
      <c r="H141" s="1">
        <v>450</v>
      </c>
      <c r="I141" s="1">
        <v>96.2</v>
      </c>
      <c r="J141" s="1">
        <v>75.7</v>
      </c>
      <c r="K141" s="1">
        <v>176.7</v>
      </c>
      <c r="L141" s="1">
        <v>3.375</v>
      </c>
      <c r="M141" s="1">
        <v>19</v>
      </c>
      <c r="N141" s="1">
        <v>16</v>
      </c>
      <c r="O141" s="5">
        <v>42589</v>
      </c>
      <c r="P141" s="1">
        <v>188.14432300000001</v>
      </c>
      <c r="Q141" s="1">
        <v>260681</v>
      </c>
    </row>
    <row r="142" spans="1:17" ht="12.75" x14ac:dyDescent="0.35">
      <c r="A142" s="1">
        <v>1372</v>
      </c>
      <c r="B142" s="1">
        <v>1</v>
      </c>
      <c r="C142" s="1">
        <v>2004</v>
      </c>
      <c r="D142" s="1" t="s">
        <v>191</v>
      </c>
      <c r="E142" s="1" t="s">
        <v>1090</v>
      </c>
      <c r="F142" s="1">
        <v>11.528</v>
      </c>
      <c r="G142" s="1">
        <v>2.4</v>
      </c>
      <c r="H142" s="1">
        <v>142</v>
      </c>
      <c r="I142" s="1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</v>
      </c>
      <c r="O142" s="5">
        <v>41122</v>
      </c>
      <c r="P142" s="1">
        <v>55.297116580000001</v>
      </c>
      <c r="Q142" s="1">
        <v>145536</v>
      </c>
    </row>
    <row r="143" spans="1:17" ht="12.75" x14ac:dyDescent="0.35">
      <c r="A143" s="1">
        <v>1268</v>
      </c>
      <c r="B143" s="1">
        <v>1</v>
      </c>
      <c r="C143" s="1">
        <v>2021</v>
      </c>
      <c r="D143" s="1" t="s">
        <v>297</v>
      </c>
      <c r="E143" s="1" t="s">
        <v>1091</v>
      </c>
      <c r="F143" s="1">
        <v>38.9</v>
      </c>
      <c r="G143" s="1">
        <v>2.2999999999999998</v>
      </c>
      <c r="H143" s="1">
        <v>190</v>
      </c>
      <c r="I143" s="1">
        <v>94.5</v>
      </c>
      <c r="J143" s="1">
        <v>67.5</v>
      </c>
      <c r="K143" s="1">
        <v>157.9</v>
      </c>
      <c r="L143" s="1">
        <v>3.0550000000000002</v>
      </c>
      <c r="M143" s="1">
        <v>15.9</v>
      </c>
      <c r="N143" s="1">
        <v>26</v>
      </c>
      <c r="O143" s="5">
        <v>45307</v>
      </c>
      <c r="P143" s="1">
        <v>82.807361929999999</v>
      </c>
      <c r="Q143" s="1">
        <v>256263</v>
      </c>
    </row>
    <row r="144" spans="1:17" ht="12.75" x14ac:dyDescent="0.35">
      <c r="A144" s="1">
        <v>1083</v>
      </c>
      <c r="B144" s="1">
        <v>2</v>
      </c>
      <c r="C144" s="1">
        <v>2020</v>
      </c>
      <c r="D144" s="1" t="s">
        <v>796</v>
      </c>
      <c r="E144" s="1" t="s">
        <v>1092</v>
      </c>
      <c r="F144" s="1">
        <v>12.535</v>
      </c>
      <c r="G144" s="1">
        <v>1.9</v>
      </c>
      <c r="H144" s="1">
        <v>100</v>
      </c>
      <c r="I144" s="1">
        <v>102.4</v>
      </c>
      <c r="J144" s="1">
        <v>66.400000000000006</v>
      </c>
      <c r="K144" s="1">
        <v>180</v>
      </c>
      <c r="L144" s="1">
        <v>2.367</v>
      </c>
      <c r="M144" s="1">
        <v>12.1</v>
      </c>
      <c r="N144" s="1">
        <v>33</v>
      </c>
      <c r="O144" s="5">
        <v>45732</v>
      </c>
      <c r="P144" s="1">
        <v>40.700072419999998</v>
      </c>
      <c r="Q144" s="1">
        <v>121366</v>
      </c>
    </row>
    <row r="145" spans="1:17" ht="12.75" x14ac:dyDescent="0.35">
      <c r="A145" s="1">
        <v>1139</v>
      </c>
      <c r="B145" s="1">
        <v>1</v>
      </c>
      <c r="C145" s="1">
        <v>2016</v>
      </c>
      <c r="D145" s="1" t="s">
        <v>604</v>
      </c>
      <c r="E145" s="1" t="s">
        <v>1093</v>
      </c>
      <c r="F145" s="1">
        <v>22.798999999999999</v>
      </c>
      <c r="G145" s="1">
        <v>3.3</v>
      </c>
      <c r="H145" s="1">
        <v>170</v>
      </c>
      <c r="I145" s="1">
        <v>104.3</v>
      </c>
      <c r="J145" s="1">
        <v>70.400000000000006</v>
      </c>
      <c r="K145" s="1">
        <v>178</v>
      </c>
      <c r="L145" s="1">
        <v>3.8210000000000002</v>
      </c>
      <c r="M145" s="1">
        <v>19.399999999999999</v>
      </c>
      <c r="N145" s="1">
        <v>18</v>
      </c>
      <c r="O145" s="5">
        <v>43489</v>
      </c>
      <c r="P145" s="1">
        <v>69.78294434</v>
      </c>
      <c r="Q145" s="1">
        <v>196901</v>
      </c>
    </row>
    <row r="146" spans="1:17" ht="12.75" x14ac:dyDescent="0.35">
      <c r="A146" s="1">
        <v>1174</v>
      </c>
      <c r="B146" s="1">
        <v>1</v>
      </c>
      <c r="C146" s="1">
        <v>2014</v>
      </c>
      <c r="D146" s="1" t="s">
        <v>157</v>
      </c>
      <c r="E146" s="1" t="s">
        <v>1094</v>
      </c>
      <c r="F146" s="1">
        <v>14.999000000000001</v>
      </c>
      <c r="G146" s="1">
        <v>2.4</v>
      </c>
      <c r="H146" s="1">
        <v>148</v>
      </c>
      <c r="I146" s="1">
        <v>106.3</v>
      </c>
      <c r="J146" s="1">
        <v>71.599999999999994</v>
      </c>
      <c r="K146" s="1">
        <v>185.4</v>
      </c>
      <c r="L146" s="1">
        <v>3.0720000000000001</v>
      </c>
      <c r="M146" s="1">
        <v>17.2</v>
      </c>
      <c r="N146" s="1">
        <v>25</v>
      </c>
      <c r="O146" s="5">
        <v>44726</v>
      </c>
      <c r="P146" s="1">
        <v>58.758248999999999</v>
      </c>
      <c r="Q146" s="1">
        <v>161021</v>
      </c>
    </row>
    <row r="147" spans="1:17" ht="12.75" x14ac:dyDescent="0.35">
      <c r="A147" s="1">
        <v>1158</v>
      </c>
      <c r="B147" s="1">
        <v>1</v>
      </c>
      <c r="C147" s="1">
        <v>2008</v>
      </c>
      <c r="D147" s="1" t="s">
        <v>157</v>
      </c>
      <c r="E147" s="1" t="s">
        <v>1095</v>
      </c>
      <c r="F147" s="1">
        <v>9.6989999999999998</v>
      </c>
      <c r="G147" s="1">
        <v>1.5</v>
      </c>
      <c r="H147" s="1">
        <v>92</v>
      </c>
      <c r="I147" s="1">
        <v>96.1</v>
      </c>
      <c r="J147" s="1">
        <v>65.7</v>
      </c>
      <c r="K147" s="1">
        <v>166.7</v>
      </c>
      <c r="L147" s="1">
        <v>2.2400000000000002</v>
      </c>
      <c r="M147" s="1">
        <v>11.9</v>
      </c>
      <c r="N147" s="1">
        <v>31</v>
      </c>
      <c r="O147" s="5">
        <v>41527</v>
      </c>
      <c r="P147" s="1">
        <v>36.672283579999998</v>
      </c>
      <c r="Q147" s="1">
        <v>57719</v>
      </c>
    </row>
    <row r="148" spans="1:17" ht="12.75" x14ac:dyDescent="0.35">
      <c r="A148" s="1">
        <v>1473</v>
      </c>
      <c r="B148" s="1">
        <v>1</v>
      </c>
      <c r="C148" s="1">
        <v>2006</v>
      </c>
      <c r="D148" s="1" t="s">
        <v>669</v>
      </c>
      <c r="E148" s="1" t="s">
        <v>1096</v>
      </c>
      <c r="F148" s="1">
        <v>31.504999999999999</v>
      </c>
      <c r="G148" s="1">
        <v>3</v>
      </c>
      <c r="H148" s="1">
        <v>210</v>
      </c>
      <c r="I148" s="1">
        <v>105.1</v>
      </c>
      <c r="J148" s="1">
        <v>70.5</v>
      </c>
      <c r="K148" s="1">
        <v>190.2</v>
      </c>
      <c r="L148" s="1">
        <v>3.3730000000000002</v>
      </c>
      <c r="M148" s="1">
        <v>18.5</v>
      </c>
      <c r="N148" s="1">
        <v>23</v>
      </c>
      <c r="O148" s="5">
        <v>40003</v>
      </c>
      <c r="P148" s="1">
        <v>87.211001039999999</v>
      </c>
      <c r="Q148" s="1">
        <v>85836</v>
      </c>
    </row>
    <row r="149" spans="1:17" ht="12.75" x14ac:dyDescent="0.35">
      <c r="A149" s="1">
        <v>1070</v>
      </c>
      <c r="B149" s="1">
        <v>2</v>
      </c>
      <c r="C149" s="1">
        <v>2004</v>
      </c>
      <c r="D149" s="1" t="s">
        <v>241</v>
      </c>
      <c r="E149" s="1" t="s">
        <v>1097</v>
      </c>
      <c r="F149" s="1">
        <v>12.07</v>
      </c>
      <c r="G149" s="1">
        <v>2</v>
      </c>
      <c r="H149" s="1">
        <v>110</v>
      </c>
      <c r="I149" s="1">
        <v>98.4</v>
      </c>
      <c r="J149" s="1">
        <v>67</v>
      </c>
      <c r="K149" s="1">
        <v>174.7</v>
      </c>
      <c r="L149" s="1">
        <v>2.468</v>
      </c>
      <c r="M149" s="1">
        <v>12.7</v>
      </c>
      <c r="N149" s="1">
        <v>30</v>
      </c>
      <c r="O149" s="5">
        <v>40633</v>
      </c>
      <c r="P149" s="1">
        <v>44.083709460000001</v>
      </c>
      <c r="Q149" s="1">
        <v>229948</v>
      </c>
    </row>
    <row r="150" spans="1:17" ht="12.75" x14ac:dyDescent="0.35">
      <c r="A150" s="1">
        <v>1024</v>
      </c>
      <c r="B150" s="1">
        <v>2</v>
      </c>
      <c r="C150" s="1">
        <v>2007</v>
      </c>
      <c r="D150" s="1" t="s">
        <v>241</v>
      </c>
      <c r="E150" s="1" t="s">
        <v>1098</v>
      </c>
      <c r="F150" s="1">
        <v>12.05</v>
      </c>
      <c r="G150" s="1">
        <v>2.5</v>
      </c>
      <c r="H150" s="1">
        <v>119</v>
      </c>
      <c r="I150" s="1">
        <v>117.5</v>
      </c>
      <c r="J150" s="1">
        <v>69.400000000000006</v>
      </c>
      <c r="K150" s="1">
        <v>200.7</v>
      </c>
      <c r="L150" s="1">
        <v>3.0859999999999999</v>
      </c>
      <c r="M150" s="1">
        <v>20</v>
      </c>
      <c r="N150" s="1">
        <v>23</v>
      </c>
      <c r="O150" s="5">
        <v>40557</v>
      </c>
      <c r="P150" s="1">
        <v>47.389531310000002</v>
      </c>
      <c r="Q150" s="1">
        <v>227997</v>
      </c>
    </row>
    <row r="151" spans="1:17" ht="12.75" x14ac:dyDescent="0.35">
      <c r="A151" s="1">
        <v>1215</v>
      </c>
      <c r="B151" s="1">
        <v>1</v>
      </c>
      <c r="C151" s="1">
        <v>2021</v>
      </c>
      <c r="D151" s="1" t="s">
        <v>604</v>
      </c>
      <c r="E151" s="1" t="s">
        <v>1099</v>
      </c>
      <c r="F151" s="1">
        <v>26.399000000000001</v>
      </c>
      <c r="G151" s="1">
        <v>3.3</v>
      </c>
      <c r="H151" s="1">
        <v>170</v>
      </c>
      <c r="I151" s="1">
        <v>112.2</v>
      </c>
      <c r="J151" s="1">
        <v>74.900000000000006</v>
      </c>
      <c r="K151" s="1">
        <v>194.8</v>
      </c>
      <c r="L151" s="1">
        <v>3.9910000000000001</v>
      </c>
      <c r="M151" s="1">
        <v>20</v>
      </c>
      <c r="N151" s="1">
        <v>21</v>
      </c>
      <c r="O151" s="5">
        <v>45723</v>
      </c>
      <c r="P151" s="1">
        <v>71.171664129999996</v>
      </c>
      <c r="Q151" s="1">
        <v>231652</v>
      </c>
    </row>
    <row r="152" spans="1:17" ht="12.75" x14ac:dyDescent="0.35">
      <c r="A152" s="1">
        <v>1372</v>
      </c>
      <c r="B152" s="1">
        <v>2</v>
      </c>
      <c r="C152" s="1">
        <v>2017</v>
      </c>
      <c r="D152" s="1" t="s">
        <v>327</v>
      </c>
      <c r="E152" s="1" t="s">
        <v>1100</v>
      </c>
      <c r="F152" s="1">
        <v>18.850000000000001</v>
      </c>
      <c r="G152" s="1">
        <v>2.4</v>
      </c>
      <c r="H152" s="1">
        <v>150</v>
      </c>
      <c r="I152" s="1">
        <v>113.3</v>
      </c>
      <c r="J152" s="1">
        <v>76.8</v>
      </c>
      <c r="K152" s="1">
        <v>186.3</v>
      </c>
      <c r="L152" s="1">
        <v>3.528</v>
      </c>
      <c r="M152" s="1">
        <v>20</v>
      </c>
      <c r="N152" s="1">
        <v>24</v>
      </c>
      <c r="O152" s="5">
        <v>45040</v>
      </c>
      <c r="P152" s="1">
        <v>60.951185119999998</v>
      </c>
      <c r="Q152" s="1">
        <v>185542</v>
      </c>
    </row>
    <row r="153" spans="1:17" ht="12.75" x14ac:dyDescent="0.35">
      <c r="A153" s="1">
        <v>1177</v>
      </c>
      <c r="B153" s="1">
        <v>2</v>
      </c>
      <c r="C153" s="1">
        <v>2016</v>
      </c>
      <c r="D153" s="1" t="s">
        <v>241</v>
      </c>
      <c r="E153" s="1" t="s">
        <v>1101</v>
      </c>
      <c r="F153" s="1">
        <v>31.93</v>
      </c>
      <c r="G153" s="1">
        <v>4</v>
      </c>
      <c r="H153" s="1">
        <v>210</v>
      </c>
      <c r="I153" s="1">
        <v>111.6</v>
      </c>
      <c r="J153" s="1">
        <v>70.2</v>
      </c>
      <c r="K153" s="1">
        <v>190.7</v>
      </c>
      <c r="L153" s="1">
        <v>3.8759999999999999</v>
      </c>
      <c r="M153" s="1">
        <v>21</v>
      </c>
      <c r="N153" s="1">
        <v>19</v>
      </c>
      <c r="O153" s="5">
        <v>44676</v>
      </c>
      <c r="P153" s="1">
        <v>87.635495779999999</v>
      </c>
      <c r="Q153" s="1">
        <v>189586</v>
      </c>
    </row>
    <row r="154" spans="1:17" ht="12.75" x14ac:dyDescent="0.35">
      <c r="A154" s="1">
        <v>1228</v>
      </c>
      <c r="B154" s="1">
        <v>1</v>
      </c>
      <c r="C154" s="1">
        <v>2001</v>
      </c>
      <c r="D154" s="1" t="s">
        <v>604</v>
      </c>
      <c r="E154" s="1" t="s">
        <v>1102</v>
      </c>
      <c r="F154" s="1">
        <v>26.248999999999999</v>
      </c>
      <c r="G154" s="1">
        <v>3</v>
      </c>
      <c r="H154" s="1">
        <v>222</v>
      </c>
      <c r="I154" s="1">
        <v>108.3</v>
      </c>
      <c r="J154" s="1">
        <v>70.3</v>
      </c>
      <c r="K154" s="1">
        <v>190.5</v>
      </c>
      <c r="L154" s="1">
        <v>3.294</v>
      </c>
      <c r="M154" s="1">
        <v>18.5</v>
      </c>
      <c r="N154" s="1">
        <v>25</v>
      </c>
      <c r="O154" s="5">
        <v>39939</v>
      </c>
      <c r="P154" s="1">
        <v>89.427820310000001</v>
      </c>
      <c r="Q154" s="1">
        <v>256016</v>
      </c>
    </row>
    <row r="155" spans="1:17" ht="12.75" x14ac:dyDescent="0.35">
      <c r="A155" s="1">
        <v>1054</v>
      </c>
      <c r="B155" s="1">
        <v>2</v>
      </c>
      <c r="C155" s="1">
        <v>2004</v>
      </c>
      <c r="D155" s="1" t="s">
        <v>255</v>
      </c>
      <c r="E155" s="1" t="s">
        <v>1103</v>
      </c>
      <c r="F155" s="1">
        <v>21.61</v>
      </c>
      <c r="G155" s="1">
        <v>2.4</v>
      </c>
      <c r="H155" s="1">
        <v>150</v>
      </c>
      <c r="I155" s="1">
        <v>104.1</v>
      </c>
      <c r="J155" s="1">
        <v>68.400000000000006</v>
      </c>
      <c r="K155" s="1">
        <v>181.9</v>
      </c>
      <c r="L155" s="1">
        <v>2.9060000000000001</v>
      </c>
      <c r="M155" s="1">
        <v>15</v>
      </c>
      <c r="N155" s="1">
        <v>27</v>
      </c>
      <c r="O155" s="5">
        <v>40203</v>
      </c>
      <c r="P155" s="1">
        <v>62.015870300000003</v>
      </c>
      <c r="Q155" s="1">
        <v>280676</v>
      </c>
    </row>
    <row r="156" spans="1:17" ht="12.75" x14ac:dyDescent="0.35">
      <c r="A156" s="1">
        <v>1144</v>
      </c>
      <c r="B156" s="1">
        <v>2</v>
      </c>
      <c r="C156" s="1">
        <v>2010</v>
      </c>
      <c r="D156" s="1" t="s">
        <v>191</v>
      </c>
      <c r="E156" s="1" t="s">
        <v>1104</v>
      </c>
      <c r="F156" s="1">
        <v>17.518000000000001</v>
      </c>
      <c r="G156" s="1">
        <v>2.2000000000000002</v>
      </c>
      <c r="H156" s="1">
        <v>133</v>
      </c>
      <c r="I156" s="1">
        <v>105.2</v>
      </c>
      <c r="J156" s="1">
        <v>70.099999999999994</v>
      </c>
      <c r="K156" s="1">
        <v>188.5</v>
      </c>
      <c r="L156" s="1">
        <v>2.9980000000000002</v>
      </c>
      <c r="M156" s="1">
        <v>18.5</v>
      </c>
      <c r="N156" s="1">
        <v>27</v>
      </c>
      <c r="O156" s="5">
        <v>43141</v>
      </c>
      <c r="P156" s="1">
        <v>54.372419649999998</v>
      </c>
      <c r="Q156" s="1">
        <v>285758</v>
      </c>
    </row>
    <row r="157" spans="1:17" ht="12.75" x14ac:dyDescent="0.35">
      <c r="A157" s="1">
        <v>1113</v>
      </c>
      <c r="B157" s="1">
        <v>1</v>
      </c>
      <c r="C157" s="1">
        <v>2006</v>
      </c>
      <c r="D157" s="1" t="s">
        <v>669</v>
      </c>
      <c r="E157" s="1" t="s">
        <v>1105</v>
      </c>
      <c r="F157" s="1">
        <v>46.305</v>
      </c>
      <c r="G157" s="1">
        <v>4</v>
      </c>
      <c r="H157" s="1">
        <v>300</v>
      </c>
      <c r="I157" s="1">
        <v>110.2</v>
      </c>
      <c r="J157" s="1">
        <v>70.900000000000006</v>
      </c>
      <c r="K157" s="1">
        <v>189.2</v>
      </c>
      <c r="L157" s="1">
        <v>3.6930000000000001</v>
      </c>
      <c r="M157" s="1">
        <v>19.8</v>
      </c>
      <c r="N157" s="1">
        <v>21</v>
      </c>
      <c r="O157" s="5">
        <v>40145</v>
      </c>
      <c r="P157" s="1">
        <v>125.0133574</v>
      </c>
      <c r="Q157" s="1">
        <v>294792</v>
      </c>
    </row>
    <row r="158" spans="1:17" ht="12.75" x14ac:dyDescent="0.35">
      <c r="A158" s="1">
        <v>1005</v>
      </c>
      <c r="B158" s="1">
        <v>1</v>
      </c>
      <c r="C158" s="1">
        <v>2005</v>
      </c>
      <c r="D158" s="1" t="s">
        <v>365</v>
      </c>
      <c r="E158" s="1" t="s">
        <v>1106</v>
      </c>
      <c r="F158" s="1">
        <v>20.55</v>
      </c>
      <c r="G158" s="1">
        <v>2</v>
      </c>
      <c r="H158" s="1">
        <v>146</v>
      </c>
      <c r="I158" s="1">
        <v>103.2</v>
      </c>
      <c r="J158" s="1">
        <v>68.900000000000006</v>
      </c>
      <c r="K158" s="1">
        <v>177.6</v>
      </c>
      <c r="L158" s="1">
        <v>3.2189999999999999</v>
      </c>
      <c r="M158" s="1">
        <v>15.3</v>
      </c>
      <c r="N158" s="1">
        <v>24</v>
      </c>
      <c r="O158" s="5">
        <v>41354</v>
      </c>
      <c r="P158" s="1">
        <v>60.087966620000003</v>
      </c>
      <c r="Q158" s="1">
        <v>61872</v>
      </c>
    </row>
    <row r="159" spans="1:17" ht="12.75" x14ac:dyDescent="0.35">
      <c r="O159" s="12"/>
    </row>
    <row r="160" spans="1:17" ht="12.75" x14ac:dyDescent="0.35">
      <c r="O160" s="12"/>
    </row>
    <row r="161" spans="15:15" ht="12.75" x14ac:dyDescent="0.35">
      <c r="O161" s="12"/>
    </row>
    <row r="162" spans="15:15" ht="12.75" x14ac:dyDescent="0.35">
      <c r="O162" s="12"/>
    </row>
    <row r="163" spans="15:15" ht="12.75" x14ac:dyDescent="0.35">
      <c r="O163" s="12"/>
    </row>
    <row r="164" spans="15:15" ht="12.75" x14ac:dyDescent="0.35">
      <c r="O164" s="12"/>
    </row>
    <row r="165" spans="15:15" ht="12.75" x14ac:dyDescent="0.35">
      <c r="O165" s="12"/>
    </row>
    <row r="166" spans="15:15" ht="12.75" x14ac:dyDescent="0.35">
      <c r="O166" s="12"/>
    </row>
    <row r="167" spans="15:15" ht="12.75" x14ac:dyDescent="0.35">
      <c r="O167" s="12"/>
    </row>
    <row r="168" spans="15:15" ht="12.75" x14ac:dyDescent="0.35">
      <c r="O168" s="12"/>
    </row>
    <row r="169" spans="15:15" ht="12.75" x14ac:dyDescent="0.35">
      <c r="O169" s="12"/>
    </row>
    <row r="170" spans="15:15" ht="12.75" x14ac:dyDescent="0.35">
      <c r="O170" s="12"/>
    </row>
    <row r="171" spans="15:15" ht="12.75" x14ac:dyDescent="0.35">
      <c r="O171" s="12"/>
    </row>
    <row r="172" spans="15:15" ht="12.75" x14ac:dyDescent="0.35">
      <c r="O172" s="12"/>
    </row>
    <row r="173" spans="15:15" ht="12.75" x14ac:dyDescent="0.35">
      <c r="O173" s="12"/>
    </row>
    <row r="174" spans="15:15" ht="12.75" x14ac:dyDescent="0.35">
      <c r="O174" s="12"/>
    </row>
    <row r="175" spans="15:15" ht="12.75" x14ac:dyDescent="0.35">
      <c r="O175" s="12"/>
    </row>
    <row r="176" spans="15:15" ht="12.75" x14ac:dyDescent="0.35">
      <c r="O176" s="12"/>
    </row>
    <row r="177" spans="15:15" ht="12.75" x14ac:dyDescent="0.35">
      <c r="O177" s="12"/>
    </row>
    <row r="178" spans="15:15" ht="12.75" x14ac:dyDescent="0.35">
      <c r="O178" s="12"/>
    </row>
    <row r="179" spans="15:15" ht="12.75" x14ac:dyDescent="0.35">
      <c r="O179" s="12"/>
    </row>
    <row r="180" spans="15:15" ht="12.75" x14ac:dyDescent="0.35">
      <c r="O180" s="12"/>
    </row>
    <row r="181" spans="15:15" ht="12.75" x14ac:dyDescent="0.35">
      <c r="O181" s="12"/>
    </row>
    <row r="182" spans="15:15" ht="12.75" x14ac:dyDescent="0.35">
      <c r="O182" s="12"/>
    </row>
    <row r="183" spans="15:15" ht="12.75" x14ac:dyDescent="0.35">
      <c r="O183" s="12"/>
    </row>
    <row r="184" spans="15:15" ht="12.75" x14ac:dyDescent="0.35">
      <c r="O184" s="12"/>
    </row>
    <row r="185" spans="15:15" ht="12.75" x14ac:dyDescent="0.35">
      <c r="O185" s="12"/>
    </row>
    <row r="186" spans="15:15" ht="12.75" x14ac:dyDescent="0.35">
      <c r="O186" s="12"/>
    </row>
    <row r="187" spans="15:15" ht="12.75" x14ac:dyDescent="0.35">
      <c r="O187" s="12"/>
    </row>
    <row r="188" spans="15:15" ht="12.75" x14ac:dyDescent="0.35">
      <c r="O188" s="12"/>
    </row>
    <row r="189" spans="15:15" ht="12.75" x14ac:dyDescent="0.35">
      <c r="O189" s="12"/>
    </row>
    <row r="190" spans="15:15" ht="12.75" x14ac:dyDescent="0.35">
      <c r="O190" s="12"/>
    </row>
    <row r="191" spans="15:15" ht="12.75" x14ac:dyDescent="0.35">
      <c r="O191" s="12"/>
    </row>
    <row r="192" spans="15:15" ht="12.75" x14ac:dyDescent="0.35">
      <c r="O192" s="12"/>
    </row>
    <row r="193" spans="15:15" ht="12.75" x14ac:dyDescent="0.35">
      <c r="O193" s="12"/>
    </row>
    <row r="194" spans="15:15" ht="12.75" x14ac:dyDescent="0.35">
      <c r="O194" s="12"/>
    </row>
    <row r="195" spans="15:15" ht="12.75" x14ac:dyDescent="0.35">
      <c r="O195" s="12"/>
    </row>
    <row r="196" spans="15:15" ht="12.75" x14ac:dyDescent="0.35">
      <c r="O196" s="12"/>
    </row>
    <row r="197" spans="15:15" ht="12.75" x14ac:dyDescent="0.35">
      <c r="O197" s="12"/>
    </row>
    <row r="198" spans="15:15" ht="12.75" x14ac:dyDescent="0.35">
      <c r="O198" s="12"/>
    </row>
    <row r="199" spans="15:15" ht="12.75" x14ac:dyDescent="0.35">
      <c r="O199" s="12"/>
    </row>
    <row r="200" spans="15:15" ht="12.75" x14ac:dyDescent="0.35">
      <c r="O200" s="12"/>
    </row>
    <row r="201" spans="15:15" ht="12.75" x14ac:dyDescent="0.35">
      <c r="O201" s="12"/>
    </row>
    <row r="202" spans="15:15" ht="12.75" x14ac:dyDescent="0.35">
      <c r="O202" s="12"/>
    </row>
    <row r="203" spans="15:15" ht="12.75" x14ac:dyDescent="0.35">
      <c r="O203" s="12"/>
    </row>
    <row r="204" spans="15:15" ht="12.75" x14ac:dyDescent="0.35">
      <c r="O204" s="12"/>
    </row>
    <row r="205" spans="15:15" ht="12.75" x14ac:dyDescent="0.35">
      <c r="O205" s="12"/>
    </row>
    <row r="206" spans="15:15" ht="12.75" x14ac:dyDescent="0.35">
      <c r="O206" s="12"/>
    </row>
    <row r="207" spans="15:15" ht="12.75" x14ac:dyDescent="0.35">
      <c r="O207" s="12"/>
    </row>
    <row r="208" spans="15:15" ht="12.75" x14ac:dyDescent="0.35">
      <c r="O208" s="12"/>
    </row>
    <row r="209" spans="15:15" ht="12.75" x14ac:dyDescent="0.35">
      <c r="O209" s="12"/>
    </row>
    <row r="210" spans="15:15" ht="12.75" x14ac:dyDescent="0.35">
      <c r="O210" s="12"/>
    </row>
    <row r="211" spans="15:15" ht="12.75" x14ac:dyDescent="0.35">
      <c r="O211" s="12"/>
    </row>
    <row r="212" spans="15:15" ht="12.75" x14ac:dyDescent="0.35">
      <c r="O212" s="12"/>
    </row>
    <row r="213" spans="15:15" ht="12.75" x14ac:dyDescent="0.35">
      <c r="O213" s="12"/>
    </row>
    <row r="214" spans="15:15" ht="12.75" x14ac:dyDescent="0.35">
      <c r="O214" s="12"/>
    </row>
    <row r="215" spans="15:15" ht="12.75" x14ac:dyDescent="0.35">
      <c r="O215" s="12"/>
    </row>
    <row r="216" spans="15:15" ht="12.75" x14ac:dyDescent="0.35">
      <c r="O216" s="12"/>
    </row>
    <row r="217" spans="15:15" ht="12.75" x14ac:dyDescent="0.35">
      <c r="O217" s="12"/>
    </row>
    <row r="218" spans="15:15" ht="12.75" x14ac:dyDescent="0.35">
      <c r="O218" s="12"/>
    </row>
    <row r="219" spans="15:15" ht="12.75" x14ac:dyDescent="0.35">
      <c r="O219" s="12"/>
    </row>
    <row r="220" spans="15:15" ht="12.75" x14ac:dyDescent="0.35">
      <c r="O220" s="12"/>
    </row>
    <row r="221" spans="15:15" ht="12.75" x14ac:dyDescent="0.35">
      <c r="O221" s="12"/>
    </row>
    <row r="222" spans="15:15" ht="12.75" x14ac:dyDescent="0.35">
      <c r="O222" s="12"/>
    </row>
    <row r="223" spans="15:15" ht="12.75" x14ac:dyDescent="0.35">
      <c r="O223" s="12"/>
    </row>
    <row r="224" spans="15:15" ht="12.75" x14ac:dyDescent="0.35">
      <c r="O224" s="12"/>
    </row>
    <row r="225" spans="15:15" ht="12.75" x14ac:dyDescent="0.35">
      <c r="O225" s="12"/>
    </row>
    <row r="226" spans="15:15" ht="12.75" x14ac:dyDescent="0.35">
      <c r="O226" s="12"/>
    </row>
    <row r="227" spans="15:15" ht="12.75" x14ac:dyDescent="0.35">
      <c r="O227" s="12"/>
    </row>
    <row r="228" spans="15:15" ht="12.75" x14ac:dyDescent="0.35">
      <c r="O228" s="12"/>
    </row>
    <row r="229" spans="15:15" ht="12.75" x14ac:dyDescent="0.35">
      <c r="O229" s="12"/>
    </row>
    <row r="230" spans="15:15" ht="12.75" x14ac:dyDescent="0.35">
      <c r="O230" s="12"/>
    </row>
    <row r="231" spans="15:15" ht="12.75" x14ac:dyDescent="0.35">
      <c r="O231" s="12"/>
    </row>
    <row r="232" spans="15:15" ht="12.75" x14ac:dyDescent="0.35">
      <c r="O232" s="12"/>
    </row>
    <row r="233" spans="15:15" ht="12.75" x14ac:dyDescent="0.35">
      <c r="O233" s="12"/>
    </row>
    <row r="234" spans="15:15" ht="12.75" x14ac:dyDescent="0.35">
      <c r="O234" s="12"/>
    </row>
    <row r="235" spans="15:15" ht="12.75" x14ac:dyDescent="0.35">
      <c r="O235" s="12"/>
    </row>
    <row r="236" spans="15:15" ht="12.75" x14ac:dyDescent="0.35">
      <c r="O236" s="12"/>
    </row>
    <row r="237" spans="15:15" ht="12.75" x14ac:dyDescent="0.35">
      <c r="O237" s="12"/>
    </row>
    <row r="238" spans="15:15" ht="12.75" x14ac:dyDescent="0.35">
      <c r="O238" s="12"/>
    </row>
    <row r="239" spans="15:15" ht="12.75" x14ac:dyDescent="0.35">
      <c r="O239" s="12"/>
    </row>
    <row r="240" spans="15:15" ht="12.75" x14ac:dyDescent="0.35">
      <c r="O240" s="12"/>
    </row>
    <row r="241" spans="15:15" ht="12.75" x14ac:dyDescent="0.35">
      <c r="O241" s="12"/>
    </row>
    <row r="242" spans="15:15" ht="12.75" x14ac:dyDescent="0.35">
      <c r="O242" s="12"/>
    </row>
    <row r="243" spans="15:15" ht="12.75" x14ac:dyDescent="0.35">
      <c r="O243" s="12"/>
    </row>
    <row r="244" spans="15:15" ht="12.75" x14ac:dyDescent="0.35">
      <c r="O244" s="12"/>
    </row>
    <row r="245" spans="15:15" ht="12.75" x14ac:dyDescent="0.35">
      <c r="O245" s="12"/>
    </row>
    <row r="246" spans="15:15" ht="12.75" x14ac:dyDescent="0.35">
      <c r="O246" s="12"/>
    </row>
    <row r="247" spans="15:15" ht="12.75" x14ac:dyDescent="0.35">
      <c r="O247" s="12"/>
    </row>
    <row r="248" spans="15:15" ht="12.75" x14ac:dyDescent="0.35">
      <c r="O248" s="12"/>
    </row>
    <row r="249" spans="15:15" ht="12.75" x14ac:dyDescent="0.35">
      <c r="O249" s="12"/>
    </row>
    <row r="250" spans="15:15" ht="12.75" x14ac:dyDescent="0.35">
      <c r="O250" s="12"/>
    </row>
    <row r="251" spans="15:15" ht="12.75" x14ac:dyDescent="0.35">
      <c r="O251" s="12"/>
    </row>
    <row r="252" spans="15:15" ht="12.75" x14ac:dyDescent="0.35">
      <c r="O252" s="12"/>
    </row>
    <row r="253" spans="15:15" ht="12.75" x14ac:dyDescent="0.35">
      <c r="O253" s="12"/>
    </row>
    <row r="254" spans="15:15" ht="12.75" x14ac:dyDescent="0.35">
      <c r="O254" s="12"/>
    </row>
    <row r="255" spans="15:15" ht="12.75" x14ac:dyDescent="0.35">
      <c r="O255" s="12"/>
    </row>
    <row r="256" spans="15:15" ht="12.75" x14ac:dyDescent="0.35">
      <c r="O256" s="12"/>
    </row>
    <row r="257" spans="15:15" ht="12.75" x14ac:dyDescent="0.35">
      <c r="O257" s="12"/>
    </row>
    <row r="258" spans="15:15" ht="12.75" x14ac:dyDescent="0.35">
      <c r="O258" s="12"/>
    </row>
    <row r="259" spans="15:15" ht="12.75" x14ac:dyDescent="0.35">
      <c r="O259" s="12"/>
    </row>
    <row r="260" spans="15:15" ht="12.75" x14ac:dyDescent="0.35">
      <c r="O260" s="12"/>
    </row>
    <row r="261" spans="15:15" ht="12.75" x14ac:dyDescent="0.35">
      <c r="O261" s="12"/>
    </row>
    <row r="262" spans="15:15" ht="12.75" x14ac:dyDescent="0.35">
      <c r="O262" s="12"/>
    </row>
    <row r="263" spans="15:15" ht="12.75" x14ac:dyDescent="0.35">
      <c r="O263" s="12"/>
    </row>
    <row r="264" spans="15:15" ht="12.75" x14ac:dyDescent="0.35">
      <c r="O264" s="12"/>
    </row>
    <row r="265" spans="15:15" ht="12.75" x14ac:dyDescent="0.35">
      <c r="O265" s="12"/>
    </row>
    <row r="266" spans="15:15" ht="12.75" x14ac:dyDescent="0.35">
      <c r="O266" s="12"/>
    </row>
    <row r="267" spans="15:15" ht="12.75" x14ac:dyDescent="0.35">
      <c r="O267" s="12"/>
    </row>
    <row r="268" spans="15:15" ht="12.75" x14ac:dyDescent="0.35">
      <c r="O268" s="12"/>
    </row>
    <row r="269" spans="15:15" ht="12.75" x14ac:dyDescent="0.35">
      <c r="O269" s="12"/>
    </row>
    <row r="270" spans="15:15" ht="12.75" x14ac:dyDescent="0.35">
      <c r="O270" s="12"/>
    </row>
    <row r="271" spans="15:15" ht="12.75" x14ac:dyDescent="0.35">
      <c r="O271" s="12"/>
    </row>
    <row r="272" spans="15:15" ht="12.75" x14ac:dyDescent="0.35">
      <c r="O272" s="12"/>
    </row>
    <row r="273" spans="15:15" ht="12.75" x14ac:dyDescent="0.35">
      <c r="O273" s="12"/>
    </row>
    <row r="274" spans="15:15" ht="12.75" x14ac:dyDescent="0.35">
      <c r="O274" s="12"/>
    </row>
    <row r="275" spans="15:15" ht="12.75" x14ac:dyDescent="0.35">
      <c r="O275" s="12"/>
    </row>
    <row r="276" spans="15:15" ht="12.75" x14ac:dyDescent="0.35">
      <c r="O276" s="12"/>
    </row>
    <row r="277" spans="15:15" ht="12.75" x14ac:dyDescent="0.35">
      <c r="O277" s="12"/>
    </row>
    <row r="278" spans="15:15" ht="12.75" x14ac:dyDescent="0.35">
      <c r="O278" s="12"/>
    </row>
    <row r="279" spans="15:15" ht="12.75" x14ac:dyDescent="0.35">
      <c r="O279" s="12"/>
    </row>
    <row r="280" spans="15:15" ht="12.75" x14ac:dyDescent="0.35">
      <c r="O280" s="12"/>
    </row>
    <row r="281" spans="15:15" ht="12.75" x14ac:dyDescent="0.35">
      <c r="O281" s="12"/>
    </row>
    <row r="282" spans="15:15" ht="12.75" x14ac:dyDescent="0.35">
      <c r="O282" s="12"/>
    </row>
    <row r="283" spans="15:15" ht="12.75" x14ac:dyDescent="0.35">
      <c r="O283" s="12"/>
    </row>
    <row r="284" spans="15:15" ht="12.75" x14ac:dyDescent="0.35">
      <c r="O284" s="12"/>
    </row>
    <row r="285" spans="15:15" ht="12.75" x14ac:dyDescent="0.35">
      <c r="O285" s="12"/>
    </row>
    <row r="286" spans="15:15" ht="12.75" x14ac:dyDescent="0.35">
      <c r="O286" s="12"/>
    </row>
    <row r="287" spans="15:15" ht="12.75" x14ac:dyDescent="0.35">
      <c r="O287" s="12"/>
    </row>
    <row r="288" spans="15:15" ht="12.75" x14ac:dyDescent="0.35">
      <c r="O288" s="12"/>
    </row>
    <row r="289" spans="15:15" ht="12.75" x14ac:dyDescent="0.35">
      <c r="O289" s="12"/>
    </row>
    <row r="290" spans="15:15" ht="12.75" x14ac:dyDescent="0.35">
      <c r="O290" s="12"/>
    </row>
    <row r="291" spans="15:15" ht="12.75" x14ac:dyDescent="0.35">
      <c r="O291" s="12"/>
    </row>
    <row r="292" spans="15:15" ht="12.75" x14ac:dyDescent="0.35">
      <c r="O292" s="12"/>
    </row>
    <row r="293" spans="15:15" ht="12.75" x14ac:dyDescent="0.35">
      <c r="O293" s="12"/>
    </row>
    <row r="294" spans="15:15" ht="12.75" x14ac:dyDescent="0.35">
      <c r="O294" s="12"/>
    </row>
    <row r="295" spans="15:15" ht="12.75" x14ac:dyDescent="0.35">
      <c r="O295" s="12"/>
    </row>
    <row r="296" spans="15:15" ht="12.75" x14ac:dyDescent="0.35">
      <c r="O296" s="12"/>
    </row>
    <row r="297" spans="15:15" ht="12.75" x14ac:dyDescent="0.35">
      <c r="O297" s="12"/>
    </row>
    <row r="298" spans="15:15" ht="12.75" x14ac:dyDescent="0.35">
      <c r="O298" s="12"/>
    </row>
    <row r="299" spans="15:15" ht="12.75" x14ac:dyDescent="0.35">
      <c r="O299" s="12"/>
    </row>
    <row r="300" spans="15:15" ht="12.75" x14ac:dyDescent="0.35">
      <c r="O300" s="12"/>
    </row>
    <row r="301" spans="15:15" ht="12.75" x14ac:dyDescent="0.35">
      <c r="O301" s="12"/>
    </row>
    <row r="302" spans="15:15" ht="12.75" x14ac:dyDescent="0.35">
      <c r="O302" s="12"/>
    </row>
    <row r="303" spans="15:15" ht="12.75" x14ac:dyDescent="0.35">
      <c r="O303" s="12"/>
    </row>
    <row r="304" spans="15:15" ht="12.75" x14ac:dyDescent="0.35">
      <c r="O304" s="12"/>
    </row>
    <row r="305" spans="15:15" ht="12.75" x14ac:dyDescent="0.35">
      <c r="O305" s="12"/>
    </row>
    <row r="306" spans="15:15" ht="12.75" x14ac:dyDescent="0.35">
      <c r="O306" s="12"/>
    </row>
    <row r="307" spans="15:15" ht="12.75" x14ac:dyDescent="0.35">
      <c r="O307" s="12"/>
    </row>
    <row r="308" spans="15:15" ht="12.75" x14ac:dyDescent="0.35">
      <c r="O308" s="12"/>
    </row>
    <row r="309" spans="15:15" ht="12.75" x14ac:dyDescent="0.35">
      <c r="O309" s="12"/>
    </row>
    <row r="310" spans="15:15" ht="12.75" x14ac:dyDescent="0.35">
      <c r="O310" s="12"/>
    </row>
    <row r="311" spans="15:15" ht="12.75" x14ac:dyDescent="0.35">
      <c r="O311" s="12"/>
    </row>
    <row r="312" spans="15:15" ht="12.75" x14ac:dyDescent="0.35">
      <c r="O312" s="12"/>
    </row>
    <row r="313" spans="15:15" ht="12.75" x14ac:dyDescent="0.35">
      <c r="O313" s="12"/>
    </row>
    <row r="314" spans="15:15" ht="12.75" x14ac:dyDescent="0.35">
      <c r="O314" s="12"/>
    </row>
    <row r="315" spans="15:15" ht="12.75" x14ac:dyDescent="0.35">
      <c r="O315" s="12"/>
    </row>
    <row r="316" spans="15:15" ht="12.75" x14ac:dyDescent="0.35">
      <c r="O316" s="12"/>
    </row>
    <row r="317" spans="15:15" ht="12.75" x14ac:dyDescent="0.35">
      <c r="O317" s="12"/>
    </row>
    <row r="318" spans="15:15" ht="12.75" x14ac:dyDescent="0.35">
      <c r="O318" s="12"/>
    </row>
    <row r="319" spans="15:15" ht="12.75" x14ac:dyDescent="0.35">
      <c r="O319" s="12"/>
    </row>
    <row r="320" spans="15:15" ht="12.75" x14ac:dyDescent="0.35">
      <c r="O320" s="12"/>
    </row>
    <row r="321" spans="15:15" ht="12.75" x14ac:dyDescent="0.35">
      <c r="O321" s="12"/>
    </row>
    <row r="322" spans="15:15" ht="12.75" x14ac:dyDescent="0.35">
      <c r="O322" s="12"/>
    </row>
    <row r="323" spans="15:15" ht="12.75" x14ac:dyDescent="0.35">
      <c r="O323" s="12"/>
    </row>
    <row r="324" spans="15:15" ht="12.75" x14ac:dyDescent="0.35">
      <c r="O324" s="12"/>
    </row>
    <row r="325" spans="15:15" ht="12.75" x14ac:dyDescent="0.35">
      <c r="O325" s="12"/>
    </row>
    <row r="326" spans="15:15" ht="12.75" x14ac:dyDescent="0.35">
      <c r="O326" s="12"/>
    </row>
    <row r="327" spans="15:15" ht="12.75" x14ac:dyDescent="0.35">
      <c r="O327" s="12"/>
    </row>
    <row r="328" spans="15:15" ht="12.75" x14ac:dyDescent="0.35">
      <c r="O328" s="12"/>
    </row>
    <row r="329" spans="15:15" ht="12.75" x14ac:dyDescent="0.35">
      <c r="O329" s="12"/>
    </row>
    <row r="330" spans="15:15" ht="12.75" x14ac:dyDescent="0.35">
      <c r="O330" s="12"/>
    </row>
    <row r="331" spans="15:15" ht="12.75" x14ac:dyDescent="0.35">
      <c r="O331" s="12"/>
    </row>
    <row r="332" spans="15:15" ht="12.75" x14ac:dyDescent="0.35">
      <c r="O332" s="12"/>
    </row>
    <row r="333" spans="15:15" ht="12.75" x14ac:dyDescent="0.35">
      <c r="O333" s="12"/>
    </row>
    <row r="334" spans="15:15" ht="12.75" x14ac:dyDescent="0.35">
      <c r="O334" s="12"/>
    </row>
    <row r="335" spans="15:15" ht="12.75" x14ac:dyDescent="0.35">
      <c r="O335" s="12"/>
    </row>
    <row r="336" spans="15:15" ht="12.75" x14ac:dyDescent="0.35">
      <c r="O336" s="12"/>
    </row>
    <row r="337" spans="15:15" ht="12.75" x14ac:dyDescent="0.35">
      <c r="O337" s="12"/>
    </row>
    <row r="338" spans="15:15" ht="12.75" x14ac:dyDescent="0.35">
      <c r="O338" s="12"/>
    </row>
    <row r="339" spans="15:15" ht="12.75" x14ac:dyDescent="0.35">
      <c r="O339" s="12"/>
    </row>
    <row r="340" spans="15:15" ht="12.75" x14ac:dyDescent="0.35">
      <c r="O340" s="12"/>
    </row>
    <row r="341" spans="15:15" ht="12.75" x14ac:dyDescent="0.35">
      <c r="O341" s="12"/>
    </row>
    <row r="342" spans="15:15" ht="12.75" x14ac:dyDescent="0.35">
      <c r="O342" s="12"/>
    </row>
    <row r="343" spans="15:15" ht="12.75" x14ac:dyDescent="0.35">
      <c r="O343" s="12"/>
    </row>
    <row r="344" spans="15:15" ht="12.75" x14ac:dyDescent="0.35">
      <c r="O344" s="12"/>
    </row>
    <row r="345" spans="15:15" ht="12.75" x14ac:dyDescent="0.35">
      <c r="O345" s="12"/>
    </row>
    <row r="346" spans="15:15" ht="12.75" x14ac:dyDescent="0.35">
      <c r="O346" s="12"/>
    </row>
    <row r="347" spans="15:15" ht="12.75" x14ac:dyDescent="0.35">
      <c r="O347" s="12"/>
    </row>
    <row r="348" spans="15:15" ht="12.75" x14ac:dyDescent="0.35">
      <c r="O348" s="12"/>
    </row>
    <row r="349" spans="15:15" ht="12.75" x14ac:dyDescent="0.35">
      <c r="O349" s="12"/>
    </row>
    <row r="350" spans="15:15" ht="12.75" x14ac:dyDescent="0.35">
      <c r="O350" s="12"/>
    </row>
    <row r="351" spans="15:15" ht="12.75" x14ac:dyDescent="0.35">
      <c r="O351" s="12"/>
    </row>
    <row r="352" spans="15:15" ht="12.75" x14ac:dyDescent="0.35">
      <c r="O352" s="12"/>
    </row>
    <row r="353" spans="15:15" ht="12.75" x14ac:dyDescent="0.35">
      <c r="O353" s="12"/>
    </row>
    <row r="354" spans="15:15" ht="12.75" x14ac:dyDescent="0.35">
      <c r="O354" s="12"/>
    </row>
    <row r="355" spans="15:15" ht="12.75" x14ac:dyDescent="0.35">
      <c r="O355" s="12"/>
    </row>
    <row r="356" spans="15:15" ht="12.75" x14ac:dyDescent="0.35">
      <c r="O356" s="12"/>
    </row>
    <row r="357" spans="15:15" ht="12.75" x14ac:dyDescent="0.35">
      <c r="O357" s="12"/>
    </row>
    <row r="358" spans="15:15" ht="12.75" x14ac:dyDescent="0.35">
      <c r="O358" s="12"/>
    </row>
    <row r="359" spans="15:15" ht="12.75" x14ac:dyDescent="0.35">
      <c r="O359" s="12"/>
    </row>
    <row r="360" spans="15:15" ht="12.75" x14ac:dyDescent="0.35">
      <c r="O360" s="12"/>
    </row>
    <row r="361" spans="15:15" ht="12.75" x14ac:dyDescent="0.35">
      <c r="O361" s="12"/>
    </row>
    <row r="362" spans="15:15" ht="12.75" x14ac:dyDescent="0.35">
      <c r="O362" s="12"/>
    </row>
    <row r="363" spans="15:15" ht="12.75" x14ac:dyDescent="0.35">
      <c r="O363" s="12"/>
    </row>
    <row r="364" spans="15:15" ht="12.75" x14ac:dyDescent="0.35">
      <c r="O364" s="12"/>
    </row>
    <row r="365" spans="15:15" ht="12.75" x14ac:dyDescent="0.35">
      <c r="O365" s="12"/>
    </row>
    <row r="366" spans="15:15" ht="12.75" x14ac:dyDescent="0.35">
      <c r="O366" s="12"/>
    </row>
    <row r="367" spans="15:15" ht="12.75" x14ac:dyDescent="0.35">
      <c r="O367" s="12"/>
    </row>
    <row r="368" spans="15:15" ht="12.75" x14ac:dyDescent="0.35">
      <c r="O368" s="12"/>
    </row>
    <row r="369" spans="15:15" ht="12.75" x14ac:dyDescent="0.35">
      <c r="O369" s="12"/>
    </row>
    <row r="370" spans="15:15" ht="12.75" x14ac:dyDescent="0.35">
      <c r="O370" s="12"/>
    </row>
    <row r="371" spans="15:15" ht="12.75" x14ac:dyDescent="0.35">
      <c r="O371" s="12"/>
    </row>
    <row r="372" spans="15:15" ht="12.75" x14ac:dyDescent="0.35">
      <c r="O372" s="12"/>
    </row>
    <row r="373" spans="15:15" ht="12.75" x14ac:dyDescent="0.35">
      <c r="O373" s="12"/>
    </row>
    <row r="374" spans="15:15" ht="12.75" x14ac:dyDescent="0.35">
      <c r="O374" s="12"/>
    </row>
    <row r="375" spans="15:15" ht="12.75" x14ac:dyDescent="0.35">
      <c r="O375" s="12"/>
    </row>
    <row r="376" spans="15:15" ht="12.75" x14ac:dyDescent="0.35">
      <c r="O376" s="12"/>
    </row>
    <row r="377" spans="15:15" ht="12.75" x14ac:dyDescent="0.35">
      <c r="O377" s="12"/>
    </row>
    <row r="378" spans="15:15" ht="12.75" x14ac:dyDescent="0.35">
      <c r="O378" s="12"/>
    </row>
    <row r="379" spans="15:15" ht="12.75" x14ac:dyDescent="0.35">
      <c r="O379" s="12"/>
    </row>
    <row r="380" spans="15:15" ht="12.75" x14ac:dyDescent="0.35">
      <c r="O380" s="12"/>
    </row>
    <row r="381" spans="15:15" ht="12.75" x14ac:dyDescent="0.35">
      <c r="O381" s="12"/>
    </row>
    <row r="382" spans="15:15" ht="12.75" x14ac:dyDescent="0.35">
      <c r="O382" s="12"/>
    </row>
    <row r="383" spans="15:15" ht="12.75" x14ac:dyDescent="0.35">
      <c r="O383" s="12"/>
    </row>
    <row r="384" spans="15:15" ht="12.75" x14ac:dyDescent="0.35">
      <c r="O384" s="12"/>
    </row>
    <row r="385" spans="15:15" ht="12.75" x14ac:dyDescent="0.35">
      <c r="O385" s="12"/>
    </row>
    <row r="386" spans="15:15" ht="12.75" x14ac:dyDescent="0.35">
      <c r="O386" s="12"/>
    </row>
    <row r="387" spans="15:15" ht="12.75" x14ac:dyDescent="0.35">
      <c r="O387" s="12"/>
    </row>
    <row r="388" spans="15:15" ht="12.75" x14ac:dyDescent="0.35">
      <c r="O388" s="12"/>
    </row>
    <row r="389" spans="15:15" ht="12.75" x14ac:dyDescent="0.35">
      <c r="O389" s="12"/>
    </row>
    <row r="390" spans="15:15" ht="12.75" x14ac:dyDescent="0.35">
      <c r="O390" s="12"/>
    </row>
    <row r="391" spans="15:15" ht="12.75" x14ac:dyDescent="0.35">
      <c r="O391" s="12"/>
    </row>
    <row r="392" spans="15:15" ht="12.75" x14ac:dyDescent="0.35">
      <c r="O392" s="12"/>
    </row>
    <row r="393" spans="15:15" ht="12.75" x14ac:dyDescent="0.35">
      <c r="O393" s="12"/>
    </row>
    <row r="394" spans="15:15" ht="12.75" x14ac:dyDescent="0.35">
      <c r="O394" s="12"/>
    </row>
    <row r="395" spans="15:15" ht="12.75" x14ac:dyDescent="0.35">
      <c r="O395" s="12"/>
    </row>
    <row r="396" spans="15:15" ht="12.75" x14ac:dyDescent="0.35">
      <c r="O396" s="12"/>
    </row>
    <row r="397" spans="15:15" ht="12.75" x14ac:dyDescent="0.35">
      <c r="O397" s="12"/>
    </row>
    <row r="398" spans="15:15" ht="12.75" x14ac:dyDescent="0.35">
      <c r="O398" s="12"/>
    </row>
    <row r="399" spans="15:15" ht="12.75" x14ac:dyDescent="0.35">
      <c r="O399" s="12"/>
    </row>
    <row r="400" spans="15:15" ht="12.75" x14ac:dyDescent="0.35">
      <c r="O400" s="12"/>
    </row>
    <row r="401" spans="15:15" ht="12.75" x14ac:dyDescent="0.35">
      <c r="O401" s="12"/>
    </row>
    <row r="402" spans="15:15" ht="12.75" x14ac:dyDescent="0.35">
      <c r="O402" s="12"/>
    </row>
    <row r="403" spans="15:15" ht="12.75" x14ac:dyDescent="0.35">
      <c r="O403" s="12"/>
    </row>
    <row r="404" spans="15:15" ht="12.75" x14ac:dyDescent="0.35">
      <c r="O404" s="12"/>
    </row>
    <row r="405" spans="15:15" ht="12.75" x14ac:dyDescent="0.35">
      <c r="O405" s="12"/>
    </row>
    <row r="406" spans="15:15" ht="12.75" x14ac:dyDescent="0.35">
      <c r="O406" s="12"/>
    </row>
    <row r="407" spans="15:15" ht="12.75" x14ac:dyDescent="0.35">
      <c r="O407" s="12"/>
    </row>
    <row r="408" spans="15:15" ht="12.75" x14ac:dyDescent="0.35">
      <c r="O408" s="12"/>
    </row>
    <row r="409" spans="15:15" ht="12.75" x14ac:dyDescent="0.35">
      <c r="O409" s="12"/>
    </row>
    <row r="410" spans="15:15" ht="12.75" x14ac:dyDescent="0.35">
      <c r="O410" s="12"/>
    </row>
    <row r="411" spans="15:15" ht="12.75" x14ac:dyDescent="0.35">
      <c r="O411" s="12"/>
    </row>
    <row r="412" spans="15:15" ht="12.75" x14ac:dyDescent="0.35">
      <c r="O412" s="12"/>
    </row>
    <row r="413" spans="15:15" ht="12.75" x14ac:dyDescent="0.35">
      <c r="O413" s="12"/>
    </row>
    <row r="414" spans="15:15" ht="12.75" x14ac:dyDescent="0.35">
      <c r="O414" s="12"/>
    </row>
    <row r="415" spans="15:15" ht="12.75" x14ac:dyDescent="0.35">
      <c r="O415" s="12"/>
    </row>
    <row r="416" spans="15:15" ht="12.75" x14ac:dyDescent="0.35">
      <c r="O416" s="12"/>
    </row>
    <row r="417" spans="15:15" ht="12.75" x14ac:dyDescent="0.35">
      <c r="O417" s="12"/>
    </row>
    <row r="418" spans="15:15" ht="12.75" x14ac:dyDescent="0.35">
      <c r="O418" s="12"/>
    </row>
    <row r="419" spans="15:15" ht="12.75" x14ac:dyDescent="0.35">
      <c r="O419" s="12"/>
    </row>
    <row r="420" spans="15:15" ht="12.75" x14ac:dyDescent="0.35">
      <c r="O420" s="12"/>
    </row>
    <row r="421" spans="15:15" ht="12.75" x14ac:dyDescent="0.35">
      <c r="O421" s="12"/>
    </row>
    <row r="422" spans="15:15" ht="12.75" x14ac:dyDescent="0.35">
      <c r="O422" s="12"/>
    </row>
    <row r="423" spans="15:15" ht="12.75" x14ac:dyDescent="0.35">
      <c r="O423" s="12"/>
    </row>
    <row r="424" spans="15:15" ht="12.75" x14ac:dyDescent="0.35">
      <c r="O424" s="12"/>
    </row>
    <row r="425" spans="15:15" ht="12.75" x14ac:dyDescent="0.35">
      <c r="O425" s="12"/>
    </row>
    <row r="426" spans="15:15" ht="12.75" x14ac:dyDescent="0.35">
      <c r="O426" s="12"/>
    </row>
    <row r="427" spans="15:15" ht="12.75" x14ac:dyDescent="0.35">
      <c r="O427" s="12"/>
    </row>
    <row r="428" spans="15:15" ht="12.75" x14ac:dyDescent="0.35">
      <c r="O428" s="12"/>
    </row>
    <row r="429" spans="15:15" ht="12.75" x14ac:dyDescent="0.35">
      <c r="O429" s="12"/>
    </row>
    <row r="430" spans="15:15" ht="12.75" x14ac:dyDescent="0.35">
      <c r="O430" s="12"/>
    </row>
    <row r="431" spans="15:15" ht="12.75" x14ac:dyDescent="0.35">
      <c r="O431" s="12"/>
    </row>
    <row r="432" spans="15:15" ht="12.75" x14ac:dyDescent="0.35">
      <c r="O432" s="12"/>
    </row>
    <row r="433" spans="15:15" ht="12.75" x14ac:dyDescent="0.35">
      <c r="O433" s="12"/>
    </row>
    <row r="434" spans="15:15" ht="12.75" x14ac:dyDescent="0.35">
      <c r="O434" s="12"/>
    </row>
    <row r="435" spans="15:15" ht="12.75" x14ac:dyDescent="0.35">
      <c r="O435" s="12"/>
    </row>
    <row r="436" spans="15:15" ht="12.75" x14ac:dyDescent="0.35">
      <c r="O436" s="12"/>
    </row>
    <row r="437" spans="15:15" ht="12.75" x14ac:dyDescent="0.35">
      <c r="O437" s="12"/>
    </row>
    <row r="438" spans="15:15" ht="12.75" x14ac:dyDescent="0.35">
      <c r="O438" s="12"/>
    </row>
    <row r="439" spans="15:15" ht="12.75" x14ac:dyDescent="0.35">
      <c r="O439" s="12"/>
    </row>
    <row r="440" spans="15:15" ht="12.75" x14ac:dyDescent="0.35">
      <c r="O440" s="12"/>
    </row>
    <row r="441" spans="15:15" ht="12.75" x14ac:dyDescent="0.35">
      <c r="O441" s="12"/>
    </row>
    <row r="442" spans="15:15" ht="12.75" x14ac:dyDescent="0.35">
      <c r="O442" s="12"/>
    </row>
    <row r="443" spans="15:15" ht="12.75" x14ac:dyDescent="0.35">
      <c r="O443" s="12"/>
    </row>
    <row r="444" spans="15:15" ht="12.75" x14ac:dyDescent="0.35">
      <c r="O444" s="12"/>
    </row>
    <row r="445" spans="15:15" ht="12.75" x14ac:dyDescent="0.35">
      <c r="O445" s="12"/>
    </row>
    <row r="446" spans="15:15" ht="12.75" x14ac:dyDescent="0.35">
      <c r="O446" s="12"/>
    </row>
    <row r="447" spans="15:15" ht="12.75" x14ac:dyDescent="0.35">
      <c r="O447" s="12"/>
    </row>
    <row r="448" spans="15:15" ht="12.75" x14ac:dyDescent="0.35">
      <c r="O448" s="12"/>
    </row>
    <row r="449" spans="15:15" ht="12.75" x14ac:dyDescent="0.35">
      <c r="O449" s="12"/>
    </row>
    <row r="450" spans="15:15" ht="12.75" x14ac:dyDescent="0.35">
      <c r="O450" s="12"/>
    </row>
    <row r="451" spans="15:15" ht="12.75" x14ac:dyDescent="0.35">
      <c r="O451" s="12"/>
    </row>
    <row r="452" spans="15:15" ht="12.75" x14ac:dyDescent="0.35">
      <c r="O452" s="12"/>
    </row>
    <row r="453" spans="15:15" ht="12.75" x14ac:dyDescent="0.35">
      <c r="O453" s="12"/>
    </row>
    <row r="454" spans="15:15" ht="12.75" x14ac:dyDescent="0.35">
      <c r="O454" s="12"/>
    </row>
    <row r="455" spans="15:15" ht="12.75" x14ac:dyDescent="0.35">
      <c r="O455" s="12"/>
    </row>
    <row r="456" spans="15:15" ht="12.75" x14ac:dyDescent="0.35">
      <c r="O456" s="12"/>
    </row>
    <row r="457" spans="15:15" ht="12.75" x14ac:dyDescent="0.35">
      <c r="O457" s="12"/>
    </row>
    <row r="458" spans="15:15" ht="12.75" x14ac:dyDescent="0.35">
      <c r="O458" s="12"/>
    </row>
    <row r="459" spans="15:15" ht="12.75" x14ac:dyDescent="0.35">
      <c r="O459" s="12"/>
    </row>
    <row r="460" spans="15:15" ht="12.75" x14ac:dyDescent="0.35">
      <c r="O460" s="12"/>
    </row>
    <row r="461" spans="15:15" ht="12.75" x14ac:dyDescent="0.35">
      <c r="O461" s="12"/>
    </row>
    <row r="462" spans="15:15" ht="12.75" x14ac:dyDescent="0.35">
      <c r="O462" s="12"/>
    </row>
    <row r="463" spans="15:15" ht="12.75" x14ac:dyDescent="0.35">
      <c r="O463" s="12"/>
    </row>
    <row r="464" spans="15:15" ht="12.75" x14ac:dyDescent="0.35">
      <c r="O464" s="12"/>
    </row>
    <row r="465" spans="15:15" ht="12.75" x14ac:dyDescent="0.35">
      <c r="O465" s="12"/>
    </row>
    <row r="466" spans="15:15" ht="12.75" x14ac:dyDescent="0.35">
      <c r="O466" s="12"/>
    </row>
    <row r="467" spans="15:15" ht="12.75" x14ac:dyDescent="0.35">
      <c r="O467" s="12"/>
    </row>
    <row r="468" spans="15:15" ht="12.75" x14ac:dyDescent="0.35">
      <c r="O468" s="12"/>
    </row>
    <row r="469" spans="15:15" ht="12.75" x14ac:dyDescent="0.35">
      <c r="O469" s="12"/>
    </row>
    <row r="470" spans="15:15" ht="12.75" x14ac:dyDescent="0.35">
      <c r="O470" s="12"/>
    </row>
    <row r="471" spans="15:15" ht="12.75" x14ac:dyDescent="0.35">
      <c r="O471" s="12"/>
    </row>
    <row r="472" spans="15:15" ht="12.75" x14ac:dyDescent="0.35">
      <c r="O472" s="12"/>
    </row>
    <row r="473" spans="15:15" ht="12.75" x14ac:dyDescent="0.35">
      <c r="O473" s="12"/>
    </row>
    <row r="474" spans="15:15" ht="12.75" x14ac:dyDescent="0.35">
      <c r="O474" s="12"/>
    </row>
    <row r="475" spans="15:15" ht="12.75" x14ac:dyDescent="0.35">
      <c r="O475" s="12"/>
    </row>
    <row r="476" spans="15:15" ht="12.75" x14ac:dyDescent="0.35">
      <c r="O476" s="12"/>
    </row>
    <row r="477" spans="15:15" ht="12.75" x14ac:dyDescent="0.35">
      <c r="O477" s="12"/>
    </row>
    <row r="478" spans="15:15" ht="12.75" x14ac:dyDescent="0.35">
      <c r="O478" s="12"/>
    </row>
    <row r="479" spans="15:15" ht="12.75" x14ac:dyDescent="0.35">
      <c r="O479" s="12"/>
    </row>
    <row r="480" spans="15:15" ht="12.75" x14ac:dyDescent="0.35">
      <c r="O480" s="12"/>
    </row>
    <row r="481" spans="15:15" ht="12.75" x14ac:dyDescent="0.35">
      <c r="O481" s="12"/>
    </row>
    <row r="482" spans="15:15" ht="12.75" x14ac:dyDescent="0.35">
      <c r="O482" s="12"/>
    </row>
    <row r="483" spans="15:15" ht="12.75" x14ac:dyDescent="0.35">
      <c r="O483" s="12"/>
    </row>
    <row r="484" spans="15:15" ht="12.75" x14ac:dyDescent="0.35">
      <c r="O484" s="12"/>
    </row>
    <row r="485" spans="15:15" ht="12.75" x14ac:dyDescent="0.35">
      <c r="O485" s="12"/>
    </row>
    <row r="486" spans="15:15" ht="12.75" x14ac:dyDescent="0.35">
      <c r="O486" s="12"/>
    </row>
    <row r="487" spans="15:15" ht="12.75" x14ac:dyDescent="0.35">
      <c r="O487" s="12"/>
    </row>
    <row r="488" spans="15:15" ht="12.75" x14ac:dyDescent="0.35">
      <c r="O488" s="12"/>
    </row>
    <row r="489" spans="15:15" ht="12.75" x14ac:dyDescent="0.35">
      <c r="O489" s="12"/>
    </row>
    <row r="490" spans="15:15" ht="12.75" x14ac:dyDescent="0.35">
      <c r="O490" s="12"/>
    </row>
    <row r="491" spans="15:15" ht="12.75" x14ac:dyDescent="0.35">
      <c r="O491" s="12"/>
    </row>
    <row r="492" spans="15:15" ht="12.75" x14ac:dyDescent="0.35">
      <c r="O492" s="12"/>
    </row>
    <row r="493" spans="15:15" ht="12.75" x14ac:dyDescent="0.35">
      <c r="O493" s="12"/>
    </row>
    <row r="494" spans="15:15" ht="12.75" x14ac:dyDescent="0.35">
      <c r="O494" s="12"/>
    </row>
    <row r="495" spans="15:15" ht="12.75" x14ac:dyDescent="0.35">
      <c r="O495" s="12"/>
    </row>
    <row r="496" spans="15:15" ht="12.75" x14ac:dyDescent="0.35">
      <c r="O496" s="12"/>
    </row>
    <row r="497" spans="15:15" ht="12.75" x14ac:dyDescent="0.35">
      <c r="O497" s="12"/>
    </row>
    <row r="498" spans="15:15" ht="12.75" x14ac:dyDescent="0.35">
      <c r="O498" s="12"/>
    </row>
    <row r="499" spans="15:15" ht="12.75" x14ac:dyDescent="0.35">
      <c r="O499" s="12"/>
    </row>
    <row r="500" spans="15:15" ht="12.75" x14ac:dyDescent="0.35">
      <c r="O500" s="12"/>
    </row>
    <row r="501" spans="15:15" ht="12.75" x14ac:dyDescent="0.35">
      <c r="O501" s="12"/>
    </row>
    <row r="502" spans="15:15" ht="12.75" x14ac:dyDescent="0.35">
      <c r="O502" s="12"/>
    </row>
    <row r="503" spans="15:15" ht="12.75" x14ac:dyDescent="0.35">
      <c r="O503" s="12"/>
    </row>
    <row r="504" spans="15:15" ht="12.75" x14ac:dyDescent="0.35">
      <c r="O504" s="12"/>
    </row>
    <row r="505" spans="15:15" ht="12.75" x14ac:dyDescent="0.35">
      <c r="O505" s="12"/>
    </row>
    <row r="506" spans="15:15" ht="12.75" x14ac:dyDescent="0.35">
      <c r="O506" s="12"/>
    </row>
    <row r="507" spans="15:15" ht="12.75" x14ac:dyDescent="0.35">
      <c r="O507" s="12"/>
    </row>
    <row r="508" spans="15:15" ht="12.75" x14ac:dyDescent="0.35">
      <c r="O508" s="12"/>
    </row>
    <row r="509" spans="15:15" ht="12.75" x14ac:dyDescent="0.35">
      <c r="O509" s="12"/>
    </row>
    <row r="510" spans="15:15" ht="12.75" x14ac:dyDescent="0.35">
      <c r="O510" s="12"/>
    </row>
    <row r="511" spans="15:15" ht="12.75" x14ac:dyDescent="0.35">
      <c r="O511" s="12"/>
    </row>
    <row r="512" spans="15:15" ht="12.75" x14ac:dyDescent="0.35">
      <c r="O512" s="12"/>
    </row>
    <row r="513" spans="15:15" ht="12.75" x14ac:dyDescent="0.35">
      <c r="O513" s="12"/>
    </row>
    <row r="514" spans="15:15" ht="12.75" x14ac:dyDescent="0.35">
      <c r="O514" s="12"/>
    </row>
    <row r="515" spans="15:15" ht="12.75" x14ac:dyDescent="0.35">
      <c r="O515" s="12"/>
    </row>
    <row r="516" spans="15:15" ht="12.75" x14ac:dyDescent="0.35">
      <c r="O516" s="12"/>
    </row>
    <row r="517" spans="15:15" ht="12.75" x14ac:dyDescent="0.35">
      <c r="O517" s="12"/>
    </row>
    <row r="518" spans="15:15" ht="12.75" x14ac:dyDescent="0.35">
      <c r="O518" s="12"/>
    </row>
    <row r="519" spans="15:15" ht="12.75" x14ac:dyDescent="0.35">
      <c r="O519" s="12"/>
    </row>
    <row r="520" spans="15:15" ht="12.75" x14ac:dyDescent="0.35">
      <c r="O520" s="12"/>
    </row>
    <row r="521" spans="15:15" ht="12.75" x14ac:dyDescent="0.35">
      <c r="O521" s="12"/>
    </row>
    <row r="522" spans="15:15" ht="12.75" x14ac:dyDescent="0.35">
      <c r="O522" s="12"/>
    </row>
    <row r="523" spans="15:15" ht="12.75" x14ac:dyDescent="0.35">
      <c r="O523" s="12"/>
    </row>
    <row r="524" spans="15:15" ht="12.75" x14ac:dyDescent="0.35">
      <c r="O524" s="12"/>
    </row>
    <row r="525" spans="15:15" ht="12.75" x14ac:dyDescent="0.35">
      <c r="O525" s="12"/>
    </row>
    <row r="526" spans="15:15" ht="12.75" x14ac:dyDescent="0.35">
      <c r="O526" s="12"/>
    </row>
    <row r="527" spans="15:15" ht="12.75" x14ac:dyDescent="0.35">
      <c r="O527" s="12"/>
    </row>
    <row r="528" spans="15:15" ht="12.75" x14ac:dyDescent="0.35">
      <c r="O528" s="12"/>
    </row>
    <row r="529" spans="15:15" ht="12.75" x14ac:dyDescent="0.35">
      <c r="O529" s="12"/>
    </row>
    <row r="530" spans="15:15" ht="12.75" x14ac:dyDescent="0.35">
      <c r="O530" s="12"/>
    </row>
    <row r="531" spans="15:15" ht="12.75" x14ac:dyDescent="0.35">
      <c r="O531" s="12"/>
    </row>
    <row r="532" spans="15:15" ht="12.75" x14ac:dyDescent="0.35">
      <c r="O532" s="12"/>
    </row>
    <row r="533" spans="15:15" ht="12.75" x14ac:dyDescent="0.35">
      <c r="O533" s="12"/>
    </row>
    <row r="534" spans="15:15" ht="12.75" x14ac:dyDescent="0.35">
      <c r="O534" s="12"/>
    </row>
    <row r="535" spans="15:15" ht="12.75" x14ac:dyDescent="0.35">
      <c r="O535" s="12"/>
    </row>
    <row r="536" spans="15:15" ht="12.75" x14ac:dyDescent="0.35">
      <c r="O536" s="12"/>
    </row>
    <row r="537" spans="15:15" ht="12.75" x14ac:dyDescent="0.35">
      <c r="O537" s="12"/>
    </row>
    <row r="538" spans="15:15" ht="12.75" x14ac:dyDescent="0.35">
      <c r="O538" s="12"/>
    </row>
    <row r="539" spans="15:15" ht="12.75" x14ac:dyDescent="0.35">
      <c r="O539" s="12"/>
    </row>
    <row r="540" spans="15:15" ht="12.75" x14ac:dyDescent="0.35">
      <c r="O540" s="12"/>
    </row>
    <row r="541" spans="15:15" ht="12.75" x14ac:dyDescent="0.35">
      <c r="O541" s="12"/>
    </row>
    <row r="542" spans="15:15" ht="12.75" x14ac:dyDescent="0.35">
      <c r="O542" s="12"/>
    </row>
    <row r="543" spans="15:15" ht="12.75" x14ac:dyDescent="0.35">
      <c r="O543" s="12"/>
    </row>
    <row r="544" spans="15:15" ht="12.75" x14ac:dyDescent="0.35">
      <c r="O544" s="12"/>
    </row>
    <row r="545" spans="15:15" ht="12.75" x14ac:dyDescent="0.35">
      <c r="O545" s="12"/>
    </row>
    <row r="546" spans="15:15" ht="12.75" x14ac:dyDescent="0.35">
      <c r="O546" s="12"/>
    </row>
    <row r="547" spans="15:15" ht="12.75" x14ac:dyDescent="0.35">
      <c r="O547" s="12"/>
    </row>
    <row r="548" spans="15:15" ht="12.75" x14ac:dyDescent="0.35">
      <c r="O548" s="12"/>
    </row>
    <row r="549" spans="15:15" ht="12.75" x14ac:dyDescent="0.35">
      <c r="O549" s="12"/>
    </row>
    <row r="550" spans="15:15" ht="12.75" x14ac:dyDescent="0.35">
      <c r="O550" s="12"/>
    </row>
    <row r="551" spans="15:15" ht="12.75" x14ac:dyDescent="0.35">
      <c r="O551" s="12"/>
    </row>
    <row r="552" spans="15:15" ht="12.75" x14ac:dyDescent="0.35">
      <c r="O552" s="12"/>
    </row>
    <row r="553" spans="15:15" ht="12.75" x14ac:dyDescent="0.35">
      <c r="O553" s="12"/>
    </row>
    <row r="554" spans="15:15" ht="12.75" x14ac:dyDescent="0.35">
      <c r="O554" s="12"/>
    </row>
    <row r="555" spans="15:15" ht="12.75" x14ac:dyDescent="0.35">
      <c r="O555" s="12"/>
    </row>
    <row r="556" spans="15:15" ht="12.75" x14ac:dyDescent="0.35">
      <c r="O556" s="12"/>
    </row>
    <row r="557" spans="15:15" ht="12.75" x14ac:dyDescent="0.35">
      <c r="O557" s="12"/>
    </row>
    <row r="558" spans="15:15" ht="12.75" x14ac:dyDescent="0.35">
      <c r="O558" s="12"/>
    </row>
    <row r="559" spans="15:15" ht="12.75" x14ac:dyDescent="0.35">
      <c r="O559" s="12"/>
    </row>
    <row r="560" spans="15:15" ht="12.75" x14ac:dyDescent="0.35">
      <c r="O560" s="12"/>
    </row>
    <row r="561" spans="15:15" ht="12.75" x14ac:dyDescent="0.35">
      <c r="O561" s="12"/>
    </row>
    <row r="562" spans="15:15" ht="12.75" x14ac:dyDescent="0.35">
      <c r="O562" s="12"/>
    </row>
    <row r="563" spans="15:15" ht="12.75" x14ac:dyDescent="0.35">
      <c r="O563" s="12"/>
    </row>
    <row r="564" spans="15:15" ht="12.75" x14ac:dyDescent="0.35">
      <c r="O564" s="12"/>
    </row>
    <row r="565" spans="15:15" ht="12.75" x14ac:dyDescent="0.35">
      <c r="O565" s="12"/>
    </row>
    <row r="566" spans="15:15" ht="12.75" x14ac:dyDescent="0.35">
      <c r="O566" s="12"/>
    </row>
    <row r="567" spans="15:15" ht="12.75" x14ac:dyDescent="0.35">
      <c r="O567" s="12"/>
    </row>
    <row r="568" spans="15:15" ht="12.75" x14ac:dyDescent="0.35">
      <c r="O568" s="12"/>
    </row>
    <row r="569" spans="15:15" ht="12.75" x14ac:dyDescent="0.35">
      <c r="O569" s="12"/>
    </row>
    <row r="570" spans="15:15" ht="12.75" x14ac:dyDescent="0.35">
      <c r="O570" s="12"/>
    </row>
    <row r="571" spans="15:15" ht="12.75" x14ac:dyDescent="0.35">
      <c r="O571" s="12"/>
    </row>
    <row r="572" spans="15:15" ht="12.75" x14ac:dyDescent="0.35">
      <c r="O572" s="12"/>
    </row>
    <row r="573" spans="15:15" ht="12.75" x14ac:dyDescent="0.35">
      <c r="O573" s="12"/>
    </row>
    <row r="574" spans="15:15" ht="12.75" x14ac:dyDescent="0.35">
      <c r="O574" s="12"/>
    </row>
    <row r="575" spans="15:15" ht="12.75" x14ac:dyDescent="0.35">
      <c r="O575" s="12"/>
    </row>
    <row r="576" spans="15:15" ht="12.75" x14ac:dyDescent="0.35">
      <c r="O576" s="12"/>
    </row>
    <row r="577" spans="15:15" ht="12.75" x14ac:dyDescent="0.35">
      <c r="O577" s="12"/>
    </row>
    <row r="578" spans="15:15" ht="12.75" x14ac:dyDescent="0.35">
      <c r="O578" s="12"/>
    </row>
    <row r="579" spans="15:15" ht="12.75" x14ac:dyDescent="0.35">
      <c r="O579" s="12"/>
    </row>
    <row r="580" spans="15:15" ht="12.75" x14ac:dyDescent="0.35">
      <c r="O580" s="12"/>
    </row>
    <row r="581" spans="15:15" ht="12.75" x14ac:dyDescent="0.35">
      <c r="O581" s="12"/>
    </row>
    <row r="582" spans="15:15" ht="12.75" x14ac:dyDescent="0.35">
      <c r="O582" s="12"/>
    </row>
    <row r="583" spans="15:15" ht="12.75" x14ac:dyDescent="0.35">
      <c r="O583" s="12"/>
    </row>
    <row r="584" spans="15:15" ht="12.75" x14ac:dyDescent="0.35">
      <c r="O584" s="12"/>
    </row>
    <row r="585" spans="15:15" ht="12.75" x14ac:dyDescent="0.35">
      <c r="O585" s="12"/>
    </row>
    <row r="586" spans="15:15" ht="12.75" x14ac:dyDescent="0.35">
      <c r="O586" s="12"/>
    </row>
    <row r="587" spans="15:15" ht="12.75" x14ac:dyDescent="0.35">
      <c r="O587" s="12"/>
    </row>
    <row r="588" spans="15:15" ht="12.75" x14ac:dyDescent="0.35">
      <c r="O588" s="12"/>
    </row>
    <row r="589" spans="15:15" ht="12.75" x14ac:dyDescent="0.35">
      <c r="O589" s="12"/>
    </row>
    <row r="590" spans="15:15" ht="12.75" x14ac:dyDescent="0.35">
      <c r="O590" s="12"/>
    </row>
    <row r="591" spans="15:15" ht="12.75" x14ac:dyDescent="0.35">
      <c r="O591" s="12"/>
    </row>
    <row r="592" spans="15:15" ht="12.75" x14ac:dyDescent="0.35">
      <c r="O592" s="12"/>
    </row>
    <row r="593" spans="15:15" ht="12.75" x14ac:dyDescent="0.35">
      <c r="O593" s="12"/>
    </row>
    <row r="594" spans="15:15" ht="12.75" x14ac:dyDescent="0.35">
      <c r="O594" s="12"/>
    </row>
    <row r="595" spans="15:15" ht="12.75" x14ac:dyDescent="0.35">
      <c r="O595" s="12"/>
    </row>
    <row r="596" spans="15:15" ht="12.75" x14ac:dyDescent="0.35">
      <c r="O596" s="12"/>
    </row>
    <row r="597" spans="15:15" ht="12.75" x14ac:dyDescent="0.35">
      <c r="O597" s="12"/>
    </row>
    <row r="598" spans="15:15" ht="12.75" x14ac:dyDescent="0.35">
      <c r="O598" s="12"/>
    </row>
    <row r="599" spans="15:15" ht="12.75" x14ac:dyDescent="0.35">
      <c r="O599" s="12"/>
    </row>
    <row r="600" spans="15:15" ht="12.75" x14ac:dyDescent="0.35">
      <c r="O600" s="12"/>
    </row>
    <row r="601" spans="15:15" ht="12.75" x14ac:dyDescent="0.35">
      <c r="O601" s="12"/>
    </row>
    <row r="602" spans="15:15" ht="12.75" x14ac:dyDescent="0.35">
      <c r="O602" s="12"/>
    </row>
    <row r="603" spans="15:15" ht="12.75" x14ac:dyDescent="0.35">
      <c r="O603" s="12"/>
    </row>
    <row r="604" spans="15:15" ht="12.75" x14ac:dyDescent="0.35">
      <c r="O604" s="12"/>
    </row>
    <row r="605" spans="15:15" ht="12.75" x14ac:dyDescent="0.35">
      <c r="O605" s="12"/>
    </row>
    <row r="606" spans="15:15" ht="12.75" x14ac:dyDescent="0.35">
      <c r="O606" s="12"/>
    </row>
    <row r="607" spans="15:15" ht="12.75" x14ac:dyDescent="0.35">
      <c r="O607" s="12"/>
    </row>
    <row r="608" spans="15:15" ht="12.75" x14ac:dyDescent="0.35">
      <c r="O608" s="12"/>
    </row>
    <row r="609" spans="15:15" ht="12.75" x14ac:dyDescent="0.35">
      <c r="O609" s="12"/>
    </row>
    <row r="610" spans="15:15" ht="12.75" x14ac:dyDescent="0.35">
      <c r="O610" s="12"/>
    </row>
    <row r="611" spans="15:15" ht="12.75" x14ac:dyDescent="0.35">
      <c r="O611" s="12"/>
    </row>
    <row r="612" spans="15:15" ht="12.75" x14ac:dyDescent="0.35">
      <c r="O612" s="12"/>
    </row>
    <row r="613" spans="15:15" ht="12.75" x14ac:dyDescent="0.35">
      <c r="O613" s="12"/>
    </row>
    <row r="614" spans="15:15" ht="12.75" x14ac:dyDescent="0.35">
      <c r="O614" s="12"/>
    </row>
    <row r="615" spans="15:15" ht="12.75" x14ac:dyDescent="0.35">
      <c r="O615" s="12"/>
    </row>
    <row r="616" spans="15:15" ht="12.75" x14ac:dyDescent="0.35">
      <c r="O616" s="12"/>
    </row>
    <row r="617" spans="15:15" ht="12.75" x14ac:dyDescent="0.35">
      <c r="O617" s="12"/>
    </row>
    <row r="618" spans="15:15" ht="12.75" x14ac:dyDescent="0.35">
      <c r="O618" s="12"/>
    </row>
    <row r="619" spans="15:15" ht="12.75" x14ac:dyDescent="0.35">
      <c r="O619" s="12"/>
    </row>
    <row r="620" spans="15:15" ht="12.75" x14ac:dyDescent="0.35">
      <c r="O620" s="12"/>
    </row>
    <row r="621" spans="15:15" ht="12.75" x14ac:dyDescent="0.35">
      <c r="O621" s="12"/>
    </row>
    <row r="622" spans="15:15" ht="12.75" x14ac:dyDescent="0.35">
      <c r="O622" s="12"/>
    </row>
    <row r="623" spans="15:15" ht="12.75" x14ac:dyDescent="0.35">
      <c r="O623" s="12"/>
    </row>
    <row r="624" spans="15:15" ht="12.75" x14ac:dyDescent="0.35">
      <c r="O624" s="12"/>
    </row>
    <row r="625" spans="15:15" ht="12.75" x14ac:dyDescent="0.35">
      <c r="O625" s="12"/>
    </row>
    <row r="626" spans="15:15" ht="12.75" x14ac:dyDescent="0.35">
      <c r="O626" s="12"/>
    </row>
    <row r="627" spans="15:15" ht="12.75" x14ac:dyDescent="0.35">
      <c r="O627" s="12"/>
    </row>
    <row r="628" spans="15:15" ht="12.75" x14ac:dyDescent="0.35">
      <c r="O628" s="12"/>
    </row>
    <row r="629" spans="15:15" ht="12.75" x14ac:dyDescent="0.35">
      <c r="O629" s="12"/>
    </row>
    <row r="630" spans="15:15" ht="12.75" x14ac:dyDescent="0.35">
      <c r="O630" s="12"/>
    </row>
    <row r="631" spans="15:15" ht="12.75" x14ac:dyDescent="0.35">
      <c r="O631" s="12"/>
    </row>
    <row r="632" spans="15:15" ht="12.75" x14ac:dyDescent="0.35">
      <c r="O632" s="12"/>
    </row>
    <row r="633" spans="15:15" ht="12.75" x14ac:dyDescent="0.35">
      <c r="O633" s="12"/>
    </row>
    <row r="634" spans="15:15" ht="12.75" x14ac:dyDescent="0.35">
      <c r="O634" s="12"/>
    </row>
    <row r="635" spans="15:15" ht="12.75" x14ac:dyDescent="0.35">
      <c r="O635" s="12"/>
    </row>
    <row r="636" spans="15:15" ht="12.75" x14ac:dyDescent="0.35">
      <c r="O636" s="12"/>
    </row>
    <row r="637" spans="15:15" ht="12.75" x14ac:dyDescent="0.35">
      <c r="O637" s="12"/>
    </row>
    <row r="638" spans="15:15" ht="12.75" x14ac:dyDescent="0.35">
      <c r="O638" s="12"/>
    </row>
    <row r="639" spans="15:15" ht="12.75" x14ac:dyDescent="0.35">
      <c r="O639" s="12"/>
    </row>
    <row r="640" spans="15:15" ht="12.75" x14ac:dyDescent="0.35">
      <c r="O640" s="12"/>
    </row>
    <row r="641" spans="15:15" ht="12.75" x14ac:dyDescent="0.35">
      <c r="O641" s="12"/>
    </row>
    <row r="642" spans="15:15" ht="12.75" x14ac:dyDescent="0.35">
      <c r="O642" s="12"/>
    </row>
    <row r="643" spans="15:15" ht="12.75" x14ac:dyDescent="0.35">
      <c r="O643" s="12"/>
    </row>
    <row r="644" spans="15:15" ht="12.75" x14ac:dyDescent="0.35">
      <c r="O644" s="12"/>
    </row>
    <row r="645" spans="15:15" ht="12.75" x14ac:dyDescent="0.35">
      <c r="O645" s="12"/>
    </row>
    <row r="646" spans="15:15" ht="12.75" x14ac:dyDescent="0.35">
      <c r="O646" s="12"/>
    </row>
    <row r="647" spans="15:15" ht="12.75" x14ac:dyDescent="0.35">
      <c r="O647" s="12"/>
    </row>
    <row r="648" spans="15:15" ht="12.75" x14ac:dyDescent="0.35">
      <c r="O648" s="12"/>
    </row>
    <row r="649" spans="15:15" ht="12.75" x14ac:dyDescent="0.35">
      <c r="O649" s="12"/>
    </row>
    <row r="650" spans="15:15" ht="12.75" x14ac:dyDescent="0.35">
      <c r="O650" s="12"/>
    </row>
    <row r="651" spans="15:15" ht="12.75" x14ac:dyDescent="0.35">
      <c r="O651" s="12"/>
    </row>
    <row r="652" spans="15:15" ht="12.75" x14ac:dyDescent="0.35">
      <c r="O652" s="12"/>
    </row>
    <row r="653" spans="15:15" ht="12.75" x14ac:dyDescent="0.35">
      <c r="O653" s="12"/>
    </row>
    <row r="654" spans="15:15" ht="12.75" x14ac:dyDescent="0.35">
      <c r="O654" s="12"/>
    </row>
    <row r="655" spans="15:15" ht="12.75" x14ac:dyDescent="0.35">
      <c r="O655" s="12"/>
    </row>
    <row r="656" spans="15:15" ht="12.75" x14ac:dyDescent="0.35">
      <c r="O656" s="12"/>
    </row>
    <row r="657" spans="15:15" ht="12.75" x14ac:dyDescent="0.35">
      <c r="O657" s="12"/>
    </row>
    <row r="658" spans="15:15" ht="12.75" x14ac:dyDescent="0.35">
      <c r="O658" s="12"/>
    </row>
    <row r="659" spans="15:15" ht="12.75" x14ac:dyDescent="0.35">
      <c r="O659" s="12"/>
    </row>
    <row r="660" spans="15:15" ht="12.75" x14ac:dyDescent="0.35">
      <c r="O660" s="12"/>
    </row>
    <row r="661" spans="15:15" ht="12.75" x14ac:dyDescent="0.35">
      <c r="O661" s="12"/>
    </row>
    <row r="662" spans="15:15" ht="12.75" x14ac:dyDescent="0.35">
      <c r="O662" s="12"/>
    </row>
    <row r="663" spans="15:15" ht="12.75" x14ac:dyDescent="0.35">
      <c r="O663" s="12"/>
    </row>
    <row r="664" spans="15:15" ht="12.75" x14ac:dyDescent="0.35">
      <c r="O664" s="12"/>
    </row>
    <row r="665" spans="15:15" ht="12.75" x14ac:dyDescent="0.35">
      <c r="O665" s="12"/>
    </row>
    <row r="666" spans="15:15" ht="12.75" x14ac:dyDescent="0.35">
      <c r="O666" s="12"/>
    </row>
    <row r="667" spans="15:15" ht="12.75" x14ac:dyDescent="0.35">
      <c r="O667" s="12"/>
    </row>
    <row r="668" spans="15:15" ht="12.75" x14ac:dyDescent="0.35">
      <c r="O668" s="12"/>
    </row>
    <row r="669" spans="15:15" ht="12.75" x14ac:dyDescent="0.35">
      <c r="O669" s="12"/>
    </row>
    <row r="670" spans="15:15" ht="12.75" x14ac:dyDescent="0.35">
      <c r="O670" s="12"/>
    </row>
    <row r="671" spans="15:15" ht="12.75" x14ac:dyDescent="0.35">
      <c r="O671" s="12"/>
    </row>
    <row r="672" spans="15:15" ht="12.75" x14ac:dyDescent="0.35">
      <c r="O672" s="12"/>
    </row>
    <row r="673" spans="15:15" ht="12.75" x14ac:dyDescent="0.35">
      <c r="O673" s="12"/>
    </row>
    <row r="674" spans="15:15" ht="12.75" x14ac:dyDescent="0.35">
      <c r="O674" s="12"/>
    </row>
    <row r="675" spans="15:15" ht="12.75" x14ac:dyDescent="0.35">
      <c r="O675" s="12"/>
    </row>
    <row r="676" spans="15:15" ht="12.75" x14ac:dyDescent="0.35">
      <c r="O676" s="12"/>
    </row>
    <row r="677" spans="15:15" ht="12.75" x14ac:dyDescent="0.35">
      <c r="O677" s="12"/>
    </row>
    <row r="678" spans="15:15" ht="12.75" x14ac:dyDescent="0.35">
      <c r="O678" s="12"/>
    </row>
    <row r="679" spans="15:15" ht="12.75" x14ac:dyDescent="0.35">
      <c r="O679" s="12"/>
    </row>
    <row r="680" spans="15:15" ht="12.75" x14ac:dyDescent="0.35">
      <c r="O680" s="12"/>
    </row>
    <row r="681" spans="15:15" ht="12.75" x14ac:dyDescent="0.35">
      <c r="O681" s="12"/>
    </row>
    <row r="682" spans="15:15" ht="12.75" x14ac:dyDescent="0.35">
      <c r="O682" s="12"/>
    </row>
    <row r="683" spans="15:15" ht="12.75" x14ac:dyDescent="0.35">
      <c r="O683" s="12"/>
    </row>
    <row r="684" spans="15:15" ht="12.75" x14ac:dyDescent="0.35">
      <c r="O684" s="12"/>
    </row>
    <row r="685" spans="15:15" ht="12.75" x14ac:dyDescent="0.35">
      <c r="O685" s="12"/>
    </row>
    <row r="686" spans="15:15" ht="12.75" x14ac:dyDescent="0.35">
      <c r="O686" s="12"/>
    </row>
    <row r="687" spans="15:15" ht="12.75" x14ac:dyDescent="0.35">
      <c r="O687" s="12"/>
    </row>
    <row r="688" spans="15:15" ht="12.75" x14ac:dyDescent="0.35">
      <c r="O688" s="12"/>
    </row>
    <row r="689" spans="15:15" ht="12.75" x14ac:dyDescent="0.35">
      <c r="O689" s="12"/>
    </row>
    <row r="690" spans="15:15" ht="12.75" x14ac:dyDescent="0.35">
      <c r="O690" s="12"/>
    </row>
    <row r="691" spans="15:15" ht="12.75" x14ac:dyDescent="0.35">
      <c r="O691" s="12"/>
    </row>
    <row r="692" spans="15:15" ht="12.75" x14ac:dyDescent="0.35">
      <c r="O692" s="12"/>
    </row>
    <row r="693" spans="15:15" ht="12.75" x14ac:dyDescent="0.35">
      <c r="O693" s="12"/>
    </row>
    <row r="694" spans="15:15" ht="12.75" x14ac:dyDescent="0.35">
      <c r="O694" s="12"/>
    </row>
    <row r="695" spans="15:15" ht="12.75" x14ac:dyDescent="0.35">
      <c r="O695" s="12"/>
    </row>
    <row r="696" spans="15:15" ht="12.75" x14ac:dyDescent="0.35">
      <c r="O696" s="12"/>
    </row>
    <row r="697" spans="15:15" ht="12.75" x14ac:dyDescent="0.35">
      <c r="O697" s="12"/>
    </row>
    <row r="698" spans="15:15" ht="12.75" x14ac:dyDescent="0.35">
      <c r="O698" s="12"/>
    </row>
    <row r="699" spans="15:15" ht="12.75" x14ac:dyDescent="0.35">
      <c r="O699" s="12"/>
    </row>
    <row r="700" spans="15:15" ht="12.75" x14ac:dyDescent="0.35">
      <c r="O700" s="12"/>
    </row>
    <row r="701" spans="15:15" ht="12.75" x14ac:dyDescent="0.35">
      <c r="O701" s="12"/>
    </row>
    <row r="702" spans="15:15" ht="12.75" x14ac:dyDescent="0.35">
      <c r="O702" s="12"/>
    </row>
    <row r="703" spans="15:15" ht="12.75" x14ac:dyDescent="0.35">
      <c r="O703" s="12"/>
    </row>
    <row r="704" spans="15:15" ht="12.75" x14ac:dyDescent="0.35">
      <c r="O704" s="12"/>
    </row>
    <row r="705" spans="15:15" ht="12.75" x14ac:dyDescent="0.35">
      <c r="O705" s="12"/>
    </row>
    <row r="706" spans="15:15" ht="12.75" x14ac:dyDescent="0.35">
      <c r="O706" s="12"/>
    </row>
    <row r="707" spans="15:15" ht="12.75" x14ac:dyDescent="0.35">
      <c r="O707" s="12"/>
    </row>
    <row r="708" spans="15:15" ht="12.75" x14ac:dyDescent="0.35">
      <c r="O708" s="12"/>
    </row>
    <row r="709" spans="15:15" ht="12.75" x14ac:dyDescent="0.35">
      <c r="O709" s="12"/>
    </row>
    <row r="710" spans="15:15" ht="12.75" x14ac:dyDescent="0.35">
      <c r="O710" s="12"/>
    </row>
    <row r="711" spans="15:15" ht="12.75" x14ac:dyDescent="0.35">
      <c r="O711" s="12"/>
    </row>
    <row r="712" spans="15:15" ht="12.75" x14ac:dyDescent="0.35">
      <c r="O712" s="12"/>
    </row>
    <row r="713" spans="15:15" ht="12.75" x14ac:dyDescent="0.35">
      <c r="O713" s="12"/>
    </row>
    <row r="714" spans="15:15" ht="12.75" x14ac:dyDescent="0.35">
      <c r="O714" s="12"/>
    </row>
    <row r="715" spans="15:15" ht="12.75" x14ac:dyDescent="0.35">
      <c r="O715" s="12"/>
    </row>
    <row r="716" spans="15:15" ht="12.75" x14ac:dyDescent="0.35">
      <c r="O716" s="12"/>
    </row>
    <row r="717" spans="15:15" ht="12.75" x14ac:dyDescent="0.35">
      <c r="O717" s="12"/>
    </row>
    <row r="718" spans="15:15" ht="12.75" x14ac:dyDescent="0.35">
      <c r="O718" s="12"/>
    </row>
    <row r="719" spans="15:15" ht="12.75" x14ac:dyDescent="0.35">
      <c r="O719" s="12"/>
    </row>
    <row r="720" spans="15:15" ht="12.75" x14ac:dyDescent="0.35">
      <c r="O720" s="12"/>
    </row>
    <row r="721" spans="15:15" ht="12.75" x14ac:dyDescent="0.35">
      <c r="O721" s="12"/>
    </row>
    <row r="722" spans="15:15" ht="12.75" x14ac:dyDescent="0.35">
      <c r="O722" s="12"/>
    </row>
    <row r="723" spans="15:15" ht="12.75" x14ac:dyDescent="0.35">
      <c r="O723" s="12"/>
    </row>
    <row r="724" spans="15:15" ht="12.75" x14ac:dyDescent="0.35">
      <c r="O724" s="12"/>
    </row>
    <row r="725" spans="15:15" ht="12.75" x14ac:dyDescent="0.35">
      <c r="O725" s="12"/>
    </row>
    <row r="726" spans="15:15" ht="12.75" x14ac:dyDescent="0.35">
      <c r="O726" s="12"/>
    </row>
    <row r="727" spans="15:15" ht="12.75" x14ac:dyDescent="0.35">
      <c r="O727" s="12"/>
    </row>
    <row r="728" spans="15:15" ht="12.75" x14ac:dyDescent="0.35">
      <c r="O728" s="12"/>
    </row>
    <row r="729" spans="15:15" ht="12.75" x14ac:dyDescent="0.35">
      <c r="O729" s="12"/>
    </row>
    <row r="730" spans="15:15" ht="12.75" x14ac:dyDescent="0.35">
      <c r="O730" s="12"/>
    </row>
    <row r="731" spans="15:15" ht="12.75" x14ac:dyDescent="0.35">
      <c r="O731" s="12"/>
    </row>
    <row r="732" spans="15:15" ht="12.75" x14ac:dyDescent="0.35">
      <c r="O732" s="12"/>
    </row>
    <row r="733" spans="15:15" ht="12.75" x14ac:dyDescent="0.35">
      <c r="O733" s="12"/>
    </row>
    <row r="734" spans="15:15" ht="12.75" x14ac:dyDescent="0.35">
      <c r="O734" s="12"/>
    </row>
    <row r="735" spans="15:15" ht="12.75" x14ac:dyDescent="0.35">
      <c r="O735" s="12"/>
    </row>
    <row r="736" spans="15:15" ht="12.75" x14ac:dyDescent="0.35">
      <c r="O736" s="12"/>
    </row>
    <row r="737" spans="15:15" ht="12.75" x14ac:dyDescent="0.35">
      <c r="O737" s="12"/>
    </row>
    <row r="738" spans="15:15" ht="12.75" x14ac:dyDescent="0.35">
      <c r="O738" s="12"/>
    </row>
    <row r="739" spans="15:15" ht="12.75" x14ac:dyDescent="0.35">
      <c r="O739" s="12"/>
    </row>
    <row r="740" spans="15:15" ht="12.75" x14ac:dyDescent="0.35">
      <c r="O740" s="12"/>
    </row>
    <row r="741" spans="15:15" ht="12.75" x14ac:dyDescent="0.35">
      <c r="O741" s="12"/>
    </row>
    <row r="742" spans="15:15" ht="12.75" x14ac:dyDescent="0.35">
      <c r="O742" s="12"/>
    </row>
    <row r="743" spans="15:15" ht="12.75" x14ac:dyDescent="0.35">
      <c r="O743" s="12"/>
    </row>
    <row r="744" spans="15:15" ht="12.75" x14ac:dyDescent="0.35">
      <c r="O744" s="12"/>
    </row>
    <row r="745" spans="15:15" ht="12.75" x14ac:dyDescent="0.35">
      <c r="O745" s="12"/>
    </row>
    <row r="746" spans="15:15" ht="12.75" x14ac:dyDescent="0.35">
      <c r="O746" s="12"/>
    </row>
    <row r="747" spans="15:15" ht="12.75" x14ac:dyDescent="0.35">
      <c r="O747" s="12"/>
    </row>
    <row r="748" spans="15:15" ht="12.75" x14ac:dyDescent="0.35">
      <c r="O748" s="12"/>
    </row>
    <row r="749" spans="15:15" ht="12.75" x14ac:dyDescent="0.35">
      <c r="O749" s="12"/>
    </row>
    <row r="750" spans="15:15" ht="12.75" x14ac:dyDescent="0.35">
      <c r="O750" s="12"/>
    </row>
    <row r="751" spans="15:15" ht="12.75" x14ac:dyDescent="0.35">
      <c r="O751" s="12"/>
    </row>
    <row r="752" spans="15:15" ht="12.75" x14ac:dyDescent="0.35">
      <c r="O752" s="12"/>
    </row>
    <row r="753" spans="15:15" ht="12.75" x14ac:dyDescent="0.35">
      <c r="O753" s="12"/>
    </row>
    <row r="754" spans="15:15" ht="12.75" x14ac:dyDescent="0.35">
      <c r="O754" s="12"/>
    </row>
    <row r="755" spans="15:15" ht="12.75" x14ac:dyDescent="0.35">
      <c r="O755" s="12"/>
    </row>
    <row r="756" spans="15:15" ht="12.75" x14ac:dyDescent="0.35">
      <c r="O756" s="12"/>
    </row>
    <row r="757" spans="15:15" ht="12.75" x14ac:dyDescent="0.35">
      <c r="O757" s="12"/>
    </row>
    <row r="758" spans="15:15" ht="12.75" x14ac:dyDescent="0.35">
      <c r="O758" s="12"/>
    </row>
    <row r="759" spans="15:15" ht="12.75" x14ac:dyDescent="0.35">
      <c r="O759" s="12"/>
    </row>
    <row r="760" spans="15:15" ht="12.75" x14ac:dyDescent="0.35">
      <c r="O760" s="12"/>
    </row>
    <row r="761" spans="15:15" ht="12.75" x14ac:dyDescent="0.35">
      <c r="O761" s="12"/>
    </row>
    <row r="762" spans="15:15" ht="12.75" x14ac:dyDescent="0.35">
      <c r="O762" s="12"/>
    </row>
    <row r="763" spans="15:15" ht="12.75" x14ac:dyDescent="0.35">
      <c r="O763" s="12"/>
    </row>
    <row r="764" spans="15:15" ht="12.75" x14ac:dyDescent="0.35">
      <c r="O764" s="12"/>
    </row>
    <row r="765" spans="15:15" ht="12.75" x14ac:dyDescent="0.35">
      <c r="O765" s="12"/>
    </row>
    <row r="766" spans="15:15" ht="12.75" x14ac:dyDescent="0.35">
      <c r="O766" s="12"/>
    </row>
    <row r="767" spans="15:15" ht="12.75" x14ac:dyDescent="0.35">
      <c r="O767" s="12"/>
    </row>
    <row r="768" spans="15:15" ht="12.75" x14ac:dyDescent="0.35">
      <c r="O768" s="12"/>
    </row>
    <row r="769" spans="15:15" ht="12.75" x14ac:dyDescent="0.35">
      <c r="O769" s="12"/>
    </row>
    <row r="770" spans="15:15" ht="12.75" x14ac:dyDescent="0.35">
      <c r="O770" s="12"/>
    </row>
    <row r="771" spans="15:15" ht="12.75" x14ac:dyDescent="0.35">
      <c r="O771" s="12"/>
    </row>
    <row r="772" spans="15:15" ht="12.75" x14ac:dyDescent="0.35">
      <c r="O772" s="12"/>
    </row>
    <row r="773" spans="15:15" ht="12.75" x14ac:dyDescent="0.35">
      <c r="O773" s="12"/>
    </row>
    <row r="774" spans="15:15" ht="12.75" x14ac:dyDescent="0.35">
      <c r="O774" s="12"/>
    </row>
    <row r="775" spans="15:15" ht="12.75" x14ac:dyDescent="0.35">
      <c r="O775" s="12"/>
    </row>
    <row r="776" spans="15:15" ht="12.75" x14ac:dyDescent="0.35">
      <c r="O776" s="12"/>
    </row>
    <row r="777" spans="15:15" ht="12.75" x14ac:dyDescent="0.35">
      <c r="O777" s="12"/>
    </row>
    <row r="778" spans="15:15" ht="12.75" x14ac:dyDescent="0.35">
      <c r="O778" s="12"/>
    </row>
    <row r="779" spans="15:15" ht="12.75" x14ac:dyDescent="0.35">
      <c r="O779" s="12"/>
    </row>
    <row r="780" spans="15:15" ht="12.75" x14ac:dyDescent="0.35">
      <c r="O780" s="12"/>
    </row>
    <row r="781" spans="15:15" ht="12.75" x14ac:dyDescent="0.35">
      <c r="O781" s="12"/>
    </row>
    <row r="782" spans="15:15" ht="12.75" x14ac:dyDescent="0.35">
      <c r="O782" s="12"/>
    </row>
    <row r="783" spans="15:15" ht="12.75" x14ac:dyDescent="0.35">
      <c r="O783" s="12"/>
    </row>
    <row r="784" spans="15:15" ht="12.75" x14ac:dyDescent="0.35">
      <c r="O784" s="12"/>
    </row>
    <row r="785" spans="15:15" ht="12.75" x14ac:dyDescent="0.35">
      <c r="O785" s="12"/>
    </row>
    <row r="786" spans="15:15" ht="12.75" x14ac:dyDescent="0.35">
      <c r="O786" s="12"/>
    </row>
    <row r="787" spans="15:15" ht="12.75" x14ac:dyDescent="0.35">
      <c r="O787" s="12"/>
    </row>
    <row r="788" spans="15:15" ht="12.75" x14ac:dyDescent="0.35">
      <c r="O788" s="12"/>
    </row>
    <row r="789" spans="15:15" ht="12.75" x14ac:dyDescent="0.35">
      <c r="O789" s="12"/>
    </row>
    <row r="790" spans="15:15" ht="12.75" x14ac:dyDescent="0.35">
      <c r="O790" s="12"/>
    </row>
    <row r="791" spans="15:15" ht="12.75" x14ac:dyDescent="0.35">
      <c r="O791" s="12"/>
    </row>
    <row r="792" spans="15:15" ht="12.75" x14ac:dyDescent="0.35">
      <c r="O792" s="12"/>
    </row>
    <row r="793" spans="15:15" ht="12.75" x14ac:dyDescent="0.35">
      <c r="O793" s="12"/>
    </row>
    <row r="794" spans="15:15" ht="12.75" x14ac:dyDescent="0.35">
      <c r="O794" s="12"/>
    </row>
    <row r="795" spans="15:15" ht="12.75" x14ac:dyDescent="0.35">
      <c r="O795" s="12"/>
    </row>
    <row r="796" spans="15:15" ht="12.75" x14ac:dyDescent="0.35">
      <c r="O796" s="12"/>
    </row>
    <row r="797" spans="15:15" ht="12.75" x14ac:dyDescent="0.35">
      <c r="O797" s="12"/>
    </row>
    <row r="798" spans="15:15" ht="12.75" x14ac:dyDescent="0.35">
      <c r="O798" s="12"/>
    </row>
    <row r="799" spans="15:15" ht="12.75" x14ac:dyDescent="0.35">
      <c r="O799" s="12"/>
    </row>
    <row r="800" spans="15:15" ht="12.75" x14ac:dyDescent="0.35">
      <c r="O800" s="12"/>
    </row>
    <row r="801" spans="15:15" ht="12.75" x14ac:dyDescent="0.35">
      <c r="O801" s="12"/>
    </row>
    <row r="802" spans="15:15" ht="12.75" x14ac:dyDescent="0.35">
      <c r="O802" s="12"/>
    </row>
    <row r="803" spans="15:15" ht="12.75" x14ac:dyDescent="0.35">
      <c r="O803" s="12"/>
    </row>
    <row r="804" spans="15:15" ht="12.75" x14ac:dyDescent="0.35">
      <c r="O804" s="12"/>
    </row>
    <row r="805" spans="15:15" ht="12.75" x14ac:dyDescent="0.35">
      <c r="O805" s="12"/>
    </row>
    <row r="806" spans="15:15" ht="12.75" x14ac:dyDescent="0.35">
      <c r="O806" s="12"/>
    </row>
    <row r="807" spans="15:15" ht="12.75" x14ac:dyDescent="0.35">
      <c r="O807" s="12"/>
    </row>
    <row r="808" spans="15:15" ht="12.75" x14ac:dyDescent="0.35">
      <c r="O808" s="12"/>
    </row>
    <row r="809" spans="15:15" ht="12.75" x14ac:dyDescent="0.35">
      <c r="O809" s="12"/>
    </row>
    <row r="810" spans="15:15" ht="12.75" x14ac:dyDescent="0.35">
      <c r="O810" s="12"/>
    </row>
    <row r="811" spans="15:15" ht="12.75" x14ac:dyDescent="0.35">
      <c r="O811" s="12"/>
    </row>
    <row r="812" spans="15:15" ht="12.75" x14ac:dyDescent="0.35">
      <c r="O812" s="12"/>
    </row>
    <row r="813" spans="15:15" ht="12.75" x14ac:dyDescent="0.35">
      <c r="O813" s="12"/>
    </row>
    <row r="814" spans="15:15" ht="12.75" x14ac:dyDescent="0.35">
      <c r="O814" s="12"/>
    </row>
    <row r="815" spans="15:15" ht="12.75" x14ac:dyDescent="0.35">
      <c r="O815" s="12"/>
    </row>
    <row r="816" spans="15:15" ht="12.75" x14ac:dyDescent="0.35">
      <c r="O816" s="12"/>
    </row>
    <row r="817" spans="15:15" ht="12.75" x14ac:dyDescent="0.35">
      <c r="O817" s="12"/>
    </row>
    <row r="818" spans="15:15" ht="12.75" x14ac:dyDescent="0.35">
      <c r="O818" s="12"/>
    </row>
    <row r="819" spans="15:15" ht="12.75" x14ac:dyDescent="0.35">
      <c r="O819" s="12"/>
    </row>
    <row r="820" spans="15:15" ht="12.75" x14ac:dyDescent="0.35">
      <c r="O820" s="12"/>
    </row>
    <row r="821" spans="15:15" ht="12.75" x14ac:dyDescent="0.35">
      <c r="O821" s="12"/>
    </row>
    <row r="822" spans="15:15" ht="12.75" x14ac:dyDescent="0.35">
      <c r="O822" s="12"/>
    </row>
    <row r="823" spans="15:15" ht="12.75" x14ac:dyDescent="0.35">
      <c r="O823" s="12"/>
    </row>
    <row r="824" spans="15:15" ht="12.75" x14ac:dyDescent="0.35">
      <c r="O824" s="12"/>
    </row>
    <row r="825" spans="15:15" ht="12.75" x14ac:dyDescent="0.35">
      <c r="O825" s="12"/>
    </row>
    <row r="826" spans="15:15" ht="12.75" x14ac:dyDescent="0.35">
      <c r="O826" s="12"/>
    </row>
    <row r="827" spans="15:15" ht="12.75" x14ac:dyDescent="0.35">
      <c r="O827" s="12"/>
    </row>
    <row r="828" spans="15:15" ht="12.75" x14ac:dyDescent="0.35">
      <c r="O828" s="12"/>
    </row>
    <row r="829" spans="15:15" ht="12.75" x14ac:dyDescent="0.35">
      <c r="O829" s="12"/>
    </row>
    <row r="830" spans="15:15" ht="12.75" x14ac:dyDescent="0.35">
      <c r="O830" s="12"/>
    </row>
    <row r="831" spans="15:15" ht="12.75" x14ac:dyDescent="0.35">
      <c r="O831" s="12"/>
    </row>
    <row r="832" spans="15:15" ht="12.75" x14ac:dyDescent="0.35">
      <c r="O832" s="12"/>
    </row>
    <row r="833" spans="15:15" ht="12.75" x14ac:dyDescent="0.35">
      <c r="O833" s="12"/>
    </row>
    <row r="834" spans="15:15" ht="12.75" x14ac:dyDescent="0.35">
      <c r="O834" s="12"/>
    </row>
    <row r="835" spans="15:15" ht="12.75" x14ac:dyDescent="0.35">
      <c r="O835" s="12"/>
    </row>
    <row r="836" spans="15:15" ht="12.75" x14ac:dyDescent="0.35">
      <c r="O836" s="12"/>
    </row>
    <row r="837" spans="15:15" ht="12.75" x14ac:dyDescent="0.35">
      <c r="O837" s="12"/>
    </row>
    <row r="838" spans="15:15" ht="12.75" x14ac:dyDescent="0.35">
      <c r="O838" s="12"/>
    </row>
    <row r="839" spans="15:15" ht="12.75" x14ac:dyDescent="0.35">
      <c r="O839" s="12"/>
    </row>
    <row r="840" spans="15:15" ht="12.75" x14ac:dyDescent="0.35">
      <c r="O840" s="12"/>
    </row>
    <row r="841" spans="15:15" ht="12.75" x14ac:dyDescent="0.35">
      <c r="O841" s="12"/>
    </row>
    <row r="842" spans="15:15" ht="12.75" x14ac:dyDescent="0.35">
      <c r="O842" s="12"/>
    </row>
    <row r="843" spans="15:15" ht="12.75" x14ac:dyDescent="0.35">
      <c r="O843" s="12"/>
    </row>
    <row r="844" spans="15:15" ht="12.75" x14ac:dyDescent="0.35">
      <c r="O844" s="12"/>
    </row>
    <row r="845" spans="15:15" ht="12.75" x14ac:dyDescent="0.35">
      <c r="O845" s="12"/>
    </row>
    <row r="846" spans="15:15" ht="12.75" x14ac:dyDescent="0.35">
      <c r="O846" s="12"/>
    </row>
    <row r="847" spans="15:15" ht="12.75" x14ac:dyDescent="0.35">
      <c r="O847" s="12"/>
    </row>
    <row r="848" spans="15:15" ht="12.75" x14ac:dyDescent="0.35">
      <c r="O848" s="12"/>
    </row>
    <row r="849" spans="15:15" ht="12.75" x14ac:dyDescent="0.35">
      <c r="O849" s="12"/>
    </row>
    <row r="850" spans="15:15" ht="12.75" x14ac:dyDescent="0.35">
      <c r="O850" s="12"/>
    </row>
    <row r="851" spans="15:15" ht="12.75" x14ac:dyDescent="0.35">
      <c r="O851" s="12"/>
    </row>
    <row r="852" spans="15:15" ht="12.75" x14ac:dyDescent="0.35">
      <c r="O852" s="12"/>
    </row>
    <row r="853" spans="15:15" ht="12.75" x14ac:dyDescent="0.35">
      <c r="O853" s="12"/>
    </row>
    <row r="854" spans="15:15" ht="12.75" x14ac:dyDescent="0.35">
      <c r="O854" s="12"/>
    </row>
    <row r="855" spans="15:15" ht="12.75" x14ac:dyDescent="0.35">
      <c r="O855" s="12"/>
    </row>
    <row r="856" spans="15:15" ht="12.75" x14ac:dyDescent="0.35">
      <c r="O856" s="12"/>
    </row>
    <row r="857" spans="15:15" ht="12.75" x14ac:dyDescent="0.35">
      <c r="O857" s="12"/>
    </row>
    <row r="858" spans="15:15" ht="12.75" x14ac:dyDescent="0.35">
      <c r="O858" s="12"/>
    </row>
    <row r="859" spans="15:15" ht="12.75" x14ac:dyDescent="0.35">
      <c r="O859" s="12"/>
    </row>
    <row r="860" spans="15:15" ht="12.75" x14ac:dyDescent="0.35">
      <c r="O860" s="12"/>
    </row>
    <row r="861" spans="15:15" ht="12.75" x14ac:dyDescent="0.35">
      <c r="O861" s="12"/>
    </row>
    <row r="862" spans="15:15" ht="12.75" x14ac:dyDescent="0.35">
      <c r="O862" s="12"/>
    </row>
    <row r="863" spans="15:15" ht="12.75" x14ac:dyDescent="0.35">
      <c r="O863" s="12"/>
    </row>
    <row r="864" spans="15:15" ht="12.75" x14ac:dyDescent="0.35">
      <c r="O864" s="12"/>
    </row>
    <row r="865" spans="15:15" ht="12.75" x14ac:dyDescent="0.35">
      <c r="O865" s="12"/>
    </row>
    <row r="866" spans="15:15" ht="12.75" x14ac:dyDescent="0.35">
      <c r="O866" s="12"/>
    </row>
    <row r="867" spans="15:15" ht="12.75" x14ac:dyDescent="0.35">
      <c r="O867" s="12"/>
    </row>
    <row r="868" spans="15:15" ht="12.75" x14ac:dyDescent="0.35">
      <c r="O868" s="12"/>
    </row>
    <row r="869" spans="15:15" ht="12.75" x14ac:dyDescent="0.35">
      <c r="O869" s="12"/>
    </row>
    <row r="870" spans="15:15" ht="12.75" x14ac:dyDescent="0.35">
      <c r="O870" s="12"/>
    </row>
    <row r="871" spans="15:15" ht="12.75" x14ac:dyDescent="0.35">
      <c r="O871" s="12"/>
    </row>
    <row r="872" spans="15:15" ht="12.75" x14ac:dyDescent="0.35">
      <c r="O872" s="12"/>
    </row>
    <row r="873" spans="15:15" ht="12.75" x14ac:dyDescent="0.35">
      <c r="O873" s="12"/>
    </row>
    <row r="874" spans="15:15" ht="12.75" x14ac:dyDescent="0.35">
      <c r="O874" s="12"/>
    </row>
    <row r="875" spans="15:15" ht="12.75" x14ac:dyDescent="0.35">
      <c r="O875" s="12"/>
    </row>
    <row r="876" spans="15:15" ht="12.75" x14ac:dyDescent="0.35">
      <c r="O876" s="12"/>
    </row>
    <row r="877" spans="15:15" ht="12.75" x14ac:dyDescent="0.35">
      <c r="O877" s="12"/>
    </row>
    <row r="878" spans="15:15" ht="12.75" x14ac:dyDescent="0.35">
      <c r="O878" s="12"/>
    </row>
    <row r="879" spans="15:15" ht="12.75" x14ac:dyDescent="0.35">
      <c r="O879" s="12"/>
    </row>
    <row r="880" spans="15:15" ht="12.75" x14ac:dyDescent="0.35">
      <c r="O880" s="12"/>
    </row>
    <row r="881" spans="15:15" ht="12.75" x14ac:dyDescent="0.35">
      <c r="O881" s="12"/>
    </row>
    <row r="882" spans="15:15" ht="12.75" x14ac:dyDescent="0.35">
      <c r="O882" s="12"/>
    </row>
    <row r="883" spans="15:15" ht="12.75" x14ac:dyDescent="0.35">
      <c r="O883" s="12"/>
    </row>
    <row r="884" spans="15:15" ht="12.75" x14ac:dyDescent="0.35">
      <c r="O884" s="12"/>
    </row>
    <row r="885" spans="15:15" ht="12.75" x14ac:dyDescent="0.35">
      <c r="O885" s="12"/>
    </row>
    <row r="886" spans="15:15" ht="12.75" x14ac:dyDescent="0.35">
      <c r="O886" s="12"/>
    </row>
    <row r="887" spans="15:15" ht="12.75" x14ac:dyDescent="0.35">
      <c r="O887" s="12"/>
    </row>
    <row r="888" spans="15:15" ht="12.75" x14ac:dyDescent="0.35">
      <c r="O888" s="12"/>
    </row>
    <row r="889" spans="15:15" ht="12.75" x14ac:dyDescent="0.35">
      <c r="O889" s="12"/>
    </row>
    <row r="890" spans="15:15" ht="12.75" x14ac:dyDescent="0.35">
      <c r="O890" s="12"/>
    </row>
    <row r="891" spans="15:15" ht="12.75" x14ac:dyDescent="0.35">
      <c r="O891" s="12"/>
    </row>
    <row r="892" spans="15:15" ht="12.75" x14ac:dyDescent="0.35">
      <c r="O892" s="12"/>
    </row>
    <row r="893" spans="15:15" ht="12.75" x14ac:dyDescent="0.35">
      <c r="O893" s="12"/>
    </row>
    <row r="894" spans="15:15" ht="12.75" x14ac:dyDescent="0.35">
      <c r="O894" s="12"/>
    </row>
    <row r="895" spans="15:15" ht="12.75" x14ac:dyDescent="0.35">
      <c r="O895" s="12"/>
    </row>
    <row r="896" spans="15:15" ht="12.75" x14ac:dyDescent="0.35">
      <c r="O896" s="12"/>
    </row>
    <row r="897" spans="15:15" ht="12.75" x14ac:dyDescent="0.35">
      <c r="O897" s="12"/>
    </row>
    <row r="898" spans="15:15" ht="12.75" x14ac:dyDescent="0.35">
      <c r="O898" s="12"/>
    </row>
    <row r="899" spans="15:15" ht="12.75" x14ac:dyDescent="0.35">
      <c r="O899" s="12"/>
    </row>
    <row r="900" spans="15:15" ht="12.75" x14ac:dyDescent="0.35">
      <c r="O900" s="12"/>
    </row>
    <row r="901" spans="15:15" ht="12.75" x14ac:dyDescent="0.35">
      <c r="O901" s="12"/>
    </row>
    <row r="902" spans="15:15" ht="12.75" x14ac:dyDescent="0.35">
      <c r="O902" s="12"/>
    </row>
    <row r="903" spans="15:15" ht="12.75" x14ac:dyDescent="0.35">
      <c r="O903" s="12"/>
    </row>
    <row r="904" spans="15:15" ht="12.75" x14ac:dyDescent="0.35">
      <c r="O904" s="12"/>
    </row>
    <row r="905" spans="15:15" ht="12.75" x14ac:dyDescent="0.35">
      <c r="O905" s="12"/>
    </row>
    <row r="906" spans="15:15" ht="12.75" x14ac:dyDescent="0.35">
      <c r="O906" s="12"/>
    </row>
    <row r="907" spans="15:15" ht="12.75" x14ac:dyDescent="0.35">
      <c r="O907" s="12"/>
    </row>
    <row r="908" spans="15:15" ht="12.75" x14ac:dyDescent="0.35">
      <c r="O908" s="12"/>
    </row>
    <row r="909" spans="15:15" ht="12.75" x14ac:dyDescent="0.35">
      <c r="O909" s="12"/>
    </row>
    <row r="910" spans="15:15" ht="12.75" x14ac:dyDescent="0.35">
      <c r="O910" s="12"/>
    </row>
    <row r="911" spans="15:15" ht="12.75" x14ac:dyDescent="0.35">
      <c r="O911" s="12"/>
    </row>
    <row r="912" spans="15:15" ht="12.75" x14ac:dyDescent="0.35">
      <c r="O912" s="12"/>
    </row>
    <row r="913" spans="15:15" ht="12.75" x14ac:dyDescent="0.35">
      <c r="O913" s="12"/>
    </row>
    <row r="914" spans="15:15" ht="12.75" x14ac:dyDescent="0.35">
      <c r="O914" s="12"/>
    </row>
    <row r="915" spans="15:15" ht="12.75" x14ac:dyDescent="0.35">
      <c r="O915" s="12"/>
    </row>
    <row r="916" spans="15:15" ht="12.75" x14ac:dyDescent="0.35">
      <c r="O916" s="12"/>
    </row>
    <row r="917" spans="15:15" ht="12.75" x14ac:dyDescent="0.35">
      <c r="O917" s="12"/>
    </row>
    <row r="918" spans="15:15" ht="12.75" x14ac:dyDescent="0.35">
      <c r="O918" s="12"/>
    </row>
    <row r="919" spans="15:15" ht="12.75" x14ac:dyDescent="0.35">
      <c r="O919" s="12"/>
    </row>
    <row r="920" spans="15:15" ht="12.75" x14ac:dyDescent="0.35">
      <c r="O920" s="12"/>
    </row>
    <row r="921" spans="15:15" ht="12.75" x14ac:dyDescent="0.35">
      <c r="O921" s="12"/>
    </row>
    <row r="922" spans="15:15" ht="12.75" x14ac:dyDescent="0.35">
      <c r="O922" s="12"/>
    </row>
    <row r="923" spans="15:15" ht="12.75" x14ac:dyDescent="0.35">
      <c r="O923" s="12"/>
    </row>
    <row r="924" spans="15:15" ht="12.75" x14ac:dyDescent="0.35">
      <c r="O924" s="12"/>
    </row>
    <row r="925" spans="15:15" ht="12.75" x14ac:dyDescent="0.35">
      <c r="O925" s="12"/>
    </row>
    <row r="926" spans="15:15" ht="12.75" x14ac:dyDescent="0.35">
      <c r="O926" s="12"/>
    </row>
    <row r="927" spans="15:15" ht="12.75" x14ac:dyDescent="0.35">
      <c r="O927" s="12"/>
    </row>
    <row r="928" spans="15:15" ht="12.75" x14ac:dyDescent="0.35">
      <c r="O928" s="12"/>
    </row>
    <row r="929" spans="15:15" ht="12.75" x14ac:dyDescent="0.35">
      <c r="O929" s="12"/>
    </row>
    <row r="930" spans="15:15" ht="12.75" x14ac:dyDescent="0.35">
      <c r="O930" s="12"/>
    </row>
    <row r="931" spans="15:15" ht="12.75" x14ac:dyDescent="0.35">
      <c r="O931" s="12"/>
    </row>
    <row r="932" spans="15:15" ht="12.75" x14ac:dyDescent="0.35">
      <c r="O932" s="12"/>
    </row>
    <row r="933" spans="15:15" ht="12.75" x14ac:dyDescent="0.35">
      <c r="O933" s="12"/>
    </row>
    <row r="934" spans="15:15" ht="12.75" x14ac:dyDescent="0.35">
      <c r="O934" s="12"/>
    </row>
    <row r="935" spans="15:15" ht="12.75" x14ac:dyDescent="0.35">
      <c r="O935" s="12"/>
    </row>
    <row r="936" spans="15:15" ht="12.75" x14ac:dyDescent="0.35">
      <c r="O936" s="12"/>
    </row>
    <row r="937" spans="15:15" ht="12.75" x14ac:dyDescent="0.35">
      <c r="O937" s="12"/>
    </row>
    <row r="938" spans="15:15" ht="12.75" x14ac:dyDescent="0.35">
      <c r="O938" s="12"/>
    </row>
    <row r="939" spans="15:15" ht="12.75" x14ac:dyDescent="0.35">
      <c r="O939" s="12"/>
    </row>
    <row r="940" spans="15:15" ht="12.75" x14ac:dyDescent="0.35">
      <c r="O940" s="12"/>
    </row>
    <row r="941" spans="15:15" ht="12.75" x14ac:dyDescent="0.35">
      <c r="O941" s="12"/>
    </row>
    <row r="942" spans="15:15" ht="12.75" x14ac:dyDescent="0.35">
      <c r="O942" s="12"/>
    </row>
    <row r="943" spans="15:15" ht="12.75" x14ac:dyDescent="0.35">
      <c r="O943" s="12"/>
    </row>
    <row r="944" spans="15:15" ht="12.75" x14ac:dyDescent="0.35">
      <c r="O944" s="12"/>
    </row>
    <row r="945" spans="15:15" ht="12.75" x14ac:dyDescent="0.35">
      <c r="O945" s="12"/>
    </row>
    <row r="946" spans="15:15" ht="12.75" x14ac:dyDescent="0.35">
      <c r="O946" s="12"/>
    </row>
    <row r="947" spans="15:15" ht="12.75" x14ac:dyDescent="0.35">
      <c r="O947" s="12"/>
    </row>
    <row r="948" spans="15:15" ht="12.75" x14ac:dyDescent="0.35">
      <c r="O948" s="12"/>
    </row>
    <row r="949" spans="15:15" ht="12.75" x14ac:dyDescent="0.35">
      <c r="O949" s="12"/>
    </row>
    <row r="950" spans="15:15" ht="12.75" x14ac:dyDescent="0.35">
      <c r="O950" s="12"/>
    </row>
    <row r="951" spans="15:15" ht="12.75" x14ac:dyDescent="0.35">
      <c r="O951" s="12"/>
    </row>
    <row r="952" spans="15:15" ht="12.75" x14ac:dyDescent="0.35">
      <c r="O952" s="12"/>
    </row>
    <row r="953" spans="15:15" ht="12.75" x14ac:dyDescent="0.35">
      <c r="O953" s="12"/>
    </row>
    <row r="954" spans="15:15" ht="12.75" x14ac:dyDescent="0.35">
      <c r="O954" s="12"/>
    </row>
    <row r="955" spans="15:15" ht="12.75" x14ac:dyDescent="0.35">
      <c r="O955" s="12"/>
    </row>
    <row r="956" spans="15:15" ht="12.75" x14ac:dyDescent="0.35">
      <c r="O956" s="12"/>
    </row>
    <row r="957" spans="15:15" ht="12.75" x14ac:dyDescent="0.35">
      <c r="O957" s="12"/>
    </row>
    <row r="958" spans="15:15" ht="12.75" x14ac:dyDescent="0.35">
      <c r="O958" s="12"/>
    </row>
    <row r="959" spans="15:15" ht="12.75" x14ac:dyDescent="0.35">
      <c r="O959" s="12"/>
    </row>
    <row r="960" spans="15:15" ht="12.75" x14ac:dyDescent="0.35">
      <c r="O960" s="12"/>
    </row>
    <row r="961" spans="15:15" ht="12.75" x14ac:dyDescent="0.35">
      <c r="O961" s="12"/>
    </row>
    <row r="962" spans="15:15" ht="12.75" x14ac:dyDescent="0.35">
      <c r="O962" s="12"/>
    </row>
    <row r="963" spans="15:15" ht="12.75" x14ac:dyDescent="0.35">
      <c r="O963" s="12"/>
    </row>
    <row r="964" spans="15:15" ht="12.75" x14ac:dyDescent="0.35">
      <c r="O964" s="12"/>
    </row>
    <row r="965" spans="15:15" ht="12.75" x14ac:dyDescent="0.35">
      <c r="O965" s="12"/>
    </row>
    <row r="966" spans="15:15" ht="12.75" x14ac:dyDescent="0.35">
      <c r="O966" s="12"/>
    </row>
    <row r="967" spans="15:15" ht="12.75" x14ac:dyDescent="0.35">
      <c r="O967" s="12"/>
    </row>
    <row r="968" spans="15:15" ht="12.75" x14ac:dyDescent="0.35">
      <c r="O968" s="12"/>
    </row>
    <row r="969" spans="15:15" ht="12.75" x14ac:dyDescent="0.35">
      <c r="O969" s="12"/>
    </row>
    <row r="970" spans="15:15" ht="12.75" x14ac:dyDescent="0.35">
      <c r="O970" s="12"/>
    </row>
    <row r="971" spans="15:15" ht="12.75" x14ac:dyDescent="0.35">
      <c r="O971" s="12"/>
    </row>
    <row r="972" spans="15:15" ht="12.75" x14ac:dyDescent="0.35">
      <c r="O972" s="12"/>
    </row>
    <row r="973" spans="15:15" ht="12.75" x14ac:dyDescent="0.35">
      <c r="O973" s="12"/>
    </row>
    <row r="974" spans="15:15" ht="12.75" x14ac:dyDescent="0.35">
      <c r="O974" s="12"/>
    </row>
    <row r="975" spans="15:15" ht="12.75" x14ac:dyDescent="0.35">
      <c r="O975" s="12"/>
    </row>
    <row r="976" spans="15:15" ht="12.75" x14ac:dyDescent="0.35">
      <c r="O976" s="12"/>
    </row>
    <row r="977" spans="15:15" ht="12.75" x14ac:dyDescent="0.35">
      <c r="O977" s="12"/>
    </row>
    <row r="978" spans="15:15" ht="12.75" x14ac:dyDescent="0.35">
      <c r="O978" s="12"/>
    </row>
    <row r="979" spans="15:15" ht="12.75" x14ac:dyDescent="0.35">
      <c r="O979" s="12"/>
    </row>
    <row r="980" spans="15:15" ht="12.75" x14ac:dyDescent="0.35">
      <c r="O980" s="12"/>
    </row>
    <row r="981" spans="15:15" ht="12.75" x14ac:dyDescent="0.35">
      <c r="O981" s="12"/>
    </row>
    <row r="982" spans="15:15" ht="12.75" x14ac:dyDescent="0.35">
      <c r="O982" s="12"/>
    </row>
    <row r="983" spans="15:15" ht="12.75" x14ac:dyDescent="0.35">
      <c r="O983" s="12"/>
    </row>
    <row r="984" spans="15:15" ht="12.75" x14ac:dyDescent="0.35">
      <c r="O984" s="12"/>
    </row>
    <row r="985" spans="15:15" ht="12.75" x14ac:dyDescent="0.35">
      <c r="O985" s="12"/>
    </row>
    <row r="986" spans="15:15" ht="12.75" x14ac:dyDescent="0.35">
      <c r="O986" s="12"/>
    </row>
    <row r="987" spans="15:15" ht="12.75" x14ac:dyDescent="0.35">
      <c r="O987" s="12"/>
    </row>
    <row r="988" spans="15:15" ht="12.75" x14ac:dyDescent="0.35">
      <c r="O988" s="12"/>
    </row>
    <row r="989" spans="15:15" ht="12.75" x14ac:dyDescent="0.35">
      <c r="O989" s="12"/>
    </row>
    <row r="990" spans="15:15" ht="12.75" x14ac:dyDescent="0.35">
      <c r="O990" s="12"/>
    </row>
    <row r="991" spans="15:15" ht="12.75" x14ac:dyDescent="0.35">
      <c r="O991" s="12"/>
    </row>
    <row r="992" spans="15:15" ht="12.75" x14ac:dyDescent="0.35">
      <c r="O992" s="12"/>
    </row>
    <row r="993" spans="15:15" ht="12.75" x14ac:dyDescent="0.35">
      <c r="O993" s="12"/>
    </row>
    <row r="994" spans="15:15" ht="12.75" x14ac:dyDescent="0.35">
      <c r="O994" s="12"/>
    </row>
    <row r="995" spans="15:15" ht="12.75" x14ac:dyDescent="0.35">
      <c r="O995" s="12"/>
    </row>
    <row r="996" spans="15:15" ht="12.75" x14ac:dyDescent="0.35">
      <c r="O996" s="12"/>
    </row>
    <row r="997" spans="15:15" ht="12.75" x14ac:dyDescent="0.35">
      <c r="O997" s="12"/>
    </row>
    <row r="998" spans="15:15" ht="12.75" x14ac:dyDescent="0.35">
      <c r="O998" s="12"/>
    </row>
    <row r="999" spans="15:15" ht="12.75" x14ac:dyDescent="0.35">
      <c r="O999" s="12"/>
    </row>
    <row r="1000" spans="15:15" ht="12.75" x14ac:dyDescent="0.35">
      <c r="O1000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36"/>
  <sheetViews>
    <sheetView workbookViewId="0">
      <selection activeCell="D6" sqref="D6"/>
    </sheetView>
  </sheetViews>
  <sheetFormatPr defaultColWidth="12.59765625" defaultRowHeight="15.75" customHeight="1" x14ac:dyDescent="0.35"/>
  <cols>
    <col min="1" max="1" width="12.59765625" style="19"/>
    <col min="4" max="4" width="27.19921875" bestFit="1" customWidth="1"/>
    <col min="5" max="6" width="14.59765625" customWidth="1"/>
  </cols>
  <sheetData>
    <row r="1" spans="1:6" s="14" customFormat="1" ht="15.75" customHeight="1" x14ac:dyDescent="0.4">
      <c r="A1" s="20" t="s">
        <v>0</v>
      </c>
      <c r="B1" s="13" t="s">
        <v>3</v>
      </c>
      <c r="C1" s="13" t="s">
        <v>4</v>
      </c>
      <c r="D1" s="13" t="s">
        <v>6</v>
      </c>
      <c r="E1" s="13" t="s">
        <v>1107</v>
      </c>
      <c r="F1" s="13" t="s">
        <v>1108</v>
      </c>
    </row>
    <row r="2" spans="1:6" ht="12.75" x14ac:dyDescent="0.35">
      <c r="A2" s="15">
        <v>1326</v>
      </c>
      <c r="B2" s="1" t="s">
        <v>10</v>
      </c>
      <c r="C2" s="1" t="s">
        <v>11</v>
      </c>
      <c r="D2" s="1" t="s">
        <v>13</v>
      </c>
      <c r="E2" s="1" t="str">
        <f>IF(LEN(SUBSTITUTE(SUBSTITUTE(SUBSTITUTE(B2,"-",""),"(",""),")",""))&gt;10,RIGHT(SUBSTITUTE(SUBSTITUTE(SUBSTITUTE(B2,"-",""),"(",""),")",""),10),SUBSTITUTE(SUBSTITUTE(SUBSTITUTE(B2,"-",""),"(",""),")",""))</f>
        <v>2162304892</v>
      </c>
      <c r="F2" t="str">
        <f>IF(LEN(SUBSTITUTE(SUBSTITUTE(SUBSTITUTE(C2,"-",""),"(",""),")",""))&gt;10,RIGHT(SUBSTITUTE(SUBSTITUTE(SUBSTITUTE(C2,"-",""),"(",""),")",""),10),SUBSTITUTE(SUBSTITUTE(SUBSTITUTE(C2,"-",""),"(",""),")",""))</f>
        <v>2169375320</v>
      </c>
    </row>
    <row r="3" spans="1:6" ht="12.75" x14ac:dyDescent="0.35">
      <c r="A3" s="15">
        <v>1435</v>
      </c>
      <c r="B3" s="1" t="s">
        <v>15</v>
      </c>
      <c r="C3" s="1"/>
      <c r="D3" s="1" t="s">
        <v>17</v>
      </c>
      <c r="E3" s="1" t="str">
        <f t="shared" ref="E3:E66" si="0">IF(LEN(SUBSTITUTE(SUBSTITUTE(SUBSTITUTE(B3,"-",""),"(",""),")",""))&gt;10,RIGHT(SUBSTITUTE(SUBSTITUTE(SUBSTITUTE(B3,"-",""),"(",""),")",""),10),SUBSTITUTE(SUBSTITUTE(SUBSTITUTE(B3,"-",""),"(",""),")",""))</f>
        <v>7175288996</v>
      </c>
      <c r="F3" t="str">
        <f t="shared" ref="F3:F66" si="1">IF(LEN(SUBSTITUTE(SUBSTITUTE(SUBSTITUTE(C3,"-",""),"(",""),")",""))&gt;10,RIGHT(SUBSTITUTE(SUBSTITUTE(SUBSTITUTE(C3,"-",""),"(",""),")",""),10),SUBSTITUTE(SUBSTITUTE(SUBSTITUTE(C3,"-",""),"(",""),")",""))</f>
        <v/>
      </c>
    </row>
    <row r="4" spans="1:6" ht="12.75" x14ac:dyDescent="0.35">
      <c r="A4" s="15">
        <v>1083</v>
      </c>
      <c r="B4" s="1" t="s">
        <v>19</v>
      </c>
      <c r="C4" s="1" t="s">
        <v>21</v>
      </c>
      <c r="D4" s="1" t="s">
        <v>22</v>
      </c>
      <c r="E4" s="1" t="str">
        <f t="shared" si="0"/>
        <v>9047754480</v>
      </c>
      <c r="F4" t="str">
        <f t="shared" si="1"/>
        <v>9045149918</v>
      </c>
    </row>
    <row r="5" spans="1:6" ht="12.75" x14ac:dyDescent="0.35">
      <c r="A5" s="15">
        <v>1101</v>
      </c>
      <c r="B5" s="1" t="s">
        <v>24</v>
      </c>
      <c r="C5" s="1" t="s">
        <v>26</v>
      </c>
      <c r="D5" s="1" t="s">
        <v>27</v>
      </c>
      <c r="E5" s="1" t="str">
        <f t="shared" si="0"/>
        <v>3033014946</v>
      </c>
      <c r="F5" t="str">
        <f t="shared" si="1"/>
        <v>3035219860</v>
      </c>
    </row>
    <row r="6" spans="1:6" ht="12.75" x14ac:dyDescent="0.35">
      <c r="A6" s="15">
        <v>1494</v>
      </c>
      <c r="B6" s="1" t="s">
        <v>29</v>
      </c>
      <c r="C6" s="1" t="s">
        <v>30</v>
      </c>
      <c r="D6" s="1" t="s">
        <v>31</v>
      </c>
      <c r="E6" s="1" t="str">
        <f t="shared" si="0"/>
        <v>2026467516</v>
      </c>
      <c r="F6" t="str">
        <f t="shared" si="1"/>
        <v>2022766826</v>
      </c>
    </row>
    <row r="7" spans="1:6" ht="12.75" x14ac:dyDescent="0.35">
      <c r="A7" s="15">
        <v>1479</v>
      </c>
      <c r="B7" s="1" t="s">
        <v>33</v>
      </c>
      <c r="C7" s="1" t="s">
        <v>34</v>
      </c>
      <c r="D7" s="1" t="s">
        <v>35</v>
      </c>
      <c r="E7" s="1" t="str">
        <f t="shared" si="0"/>
        <v>8563122629</v>
      </c>
      <c r="F7" t="str">
        <f t="shared" si="1"/>
        <v>8565137024</v>
      </c>
    </row>
    <row r="8" spans="1:6" ht="12.75" x14ac:dyDescent="0.35">
      <c r="A8" s="15">
        <v>1310</v>
      </c>
      <c r="B8" s="1" t="s">
        <v>36</v>
      </c>
      <c r="C8" s="1"/>
      <c r="D8" s="1" t="s">
        <v>37</v>
      </c>
      <c r="E8" s="1" t="str">
        <f t="shared" si="0"/>
        <v>9724197946</v>
      </c>
      <c r="F8" t="str">
        <f t="shared" si="1"/>
        <v/>
      </c>
    </row>
    <row r="9" spans="1:6" ht="12.75" x14ac:dyDescent="0.35">
      <c r="A9" s="15">
        <v>1249</v>
      </c>
      <c r="B9" s="1" t="s">
        <v>38</v>
      </c>
      <c r="C9" s="1" t="s">
        <v>40</v>
      </c>
      <c r="D9" s="1" t="s">
        <v>41</v>
      </c>
      <c r="E9" s="1" t="str">
        <f t="shared" si="0"/>
        <v>6092285265</v>
      </c>
      <c r="F9" t="str">
        <f t="shared" si="1"/>
        <v>6098547156</v>
      </c>
    </row>
    <row r="10" spans="1:6" ht="12.75" x14ac:dyDescent="0.35">
      <c r="A10" s="15">
        <v>1396</v>
      </c>
      <c r="B10" s="1" t="s">
        <v>43</v>
      </c>
      <c r="C10" s="1" t="s">
        <v>44</v>
      </c>
      <c r="D10" s="1" t="s">
        <v>45</v>
      </c>
      <c r="E10" s="1" t="str">
        <f t="shared" si="0"/>
        <v>4107571035</v>
      </c>
      <c r="F10" t="str">
        <f t="shared" si="1"/>
        <v>4102342267</v>
      </c>
    </row>
    <row r="11" spans="1:6" ht="12.75" x14ac:dyDescent="0.35">
      <c r="A11" s="15">
        <v>1407</v>
      </c>
      <c r="B11" s="1" t="s">
        <v>46</v>
      </c>
      <c r="C11" s="1" t="s">
        <v>47</v>
      </c>
      <c r="D11" s="1" t="s">
        <v>48</v>
      </c>
      <c r="E11" s="1" t="str">
        <f t="shared" si="0"/>
        <v>2012385688</v>
      </c>
      <c r="F11" t="str">
        <f t="shared" si="1"/>
        <v>2017724377</v>
      </c>
    </row>
    <row r="12" spans="1:6" ht="12.75" x14ac:dyDescent="0.35">
      <c r="A12" s="15">
        <v>1144</v>
      </c>
      <c r="B12" s="1" t="s">
        <v>49</v>
      </c>
      <c r="C12" s="1"/>
      <c r="D12" s="1" t="s">
        <v>50</v>
      </c>
      <c r="E12" s="1" t="str">
        <f t="shared" si="0"/>
        <v>6154067854</v>
      </c>
      <c r="F12" t="str">
        <f t="shared" si="1"/>
        <v/>
      </c>
    </row>
    <row r="13" spans="1:6" ht="12.75" x14ac:dyDescent="0.35">
      <c r="A13" s="15">
        <v>1198</v>
      </c>
      <c r="B13" s="1" t="s">
        <v>52</v>
      </c>
      <c r="C13" s="1" t="s">
        <v>53</v>
      </c>
      <c r="D13" s="1" t="s">
        <v>54</v>
      </c>
      <c r="E13" s="1" t="str">
        <f t="shared" si="0"/>
        <v>7705078791</v>
      </c>
      <c r="F13" t="str">
        <f t="shared" si="1"/>
        <v>7708024003</v>
      </c>
    </row>
    <row r="14" spans="1:6" ht="12.75" x14ac:dyDescent="0.35">
      <c r="A14" s="15">
        <v>1021</v>
      </c>
      <c r="B14" s="1" t="s">
        <v>55</v>
      </c>
      <c r="C14" s="1"/>
      <c r="D14" s="1" t="s">
        <v>56</v>
      </c>
      <c r="E14" s="1" t="str">
        <f t="shared" si="0"/>
        <v>6105453615</v>
      </c>
      <c r="F14" t="str">
        <f t="shared" si="1"/>
        <v/>
      </c>
    </row>
    <row r="15" spans="1:6" ht="12.75" x14ac:dyDescent="0.35">
      <c r="A15" s="15">
        <v>1496</v>
      </c>
      <c r="B15" s="1" t="s">
        <v>57</v>
      </c>
      <c r="C15" s="1"/>
      <c r="D15" s="1" t="s">
        <v>59</v>
      </c>
      <c r="E15" s="1" t="str">
        <f t="shared" si="0"/>
        <v>2087091235</v>
      </c>
      <c r="F15" t="str">
        <f t="shared" si="1"/>
        <v/>
      </c>
    </row>
    <row r="16" spans="1:6" ht="12.75" x14ac:dyDescent="0.35">
      <c r="A16" s="15">
        <v>1130</v>
      </c>
      <c r="B16" s="1" t="s">
        <v>60</v>
      </c>
      <c r="C16" s="1" t="s">
        <v>62</v>
      </c>
      <c r="D16" s="1" t="s">
        <v>63</v>
      </c>
      <c r="E16" s="1" t="str">
        <f t="shared" si="0"/>
        <v>7188093762</v>
      </c>
      <c r="F16" t="str">
        <f t="shared" si="1"/>
        <v>7184788568</v>
      </c>
    </row>
    <row r="17" spans="1:6" ht="12.75" x14ac:dyDescent="0.35">
      <c r="A17" s="15">
        <v>1268</v>
      </c>
      <c r="B17" s="1" t="s">
        <v>65</v>
      </c>
      <c r="C17" s="1" t="s">
        <v>66</v>
      </c>
      <c r="D17" s="1" t="s">
        <v>67</v>
      </c>
      <c r="E17" s="1" t="str">
        <f t="shared" si="0"/>
        <v>4409895826</v>
      </c>
      <c r="F17" t="str">
        <f t="shared" si="1"/>
        <v>4403272093</v>
      </c>
    </row>
    <row r="18" spans="1:6" ht="12.75" x14ac:dyDescent="0.35">
      <c r="A18" s="15">
        <v>1438</v>
      </c>
      <c r="B18" s="1" t="s">
        <v>68</v>
      </c>
      <c r="C18" s="1"/>
      <c r="D18" s="1" t="s">
        <v>69</v>
      </c>
      <c r="E18" s="1" t="str">
        <f t="shared" si="0"/>
        <v>6152461824</v>
      </c>
      <c r="F18" t="str">
        <f t="shared" si="1"/>
        <v/>
      </c>
    </row>
    <row r="19" spans="1:6" ht="12.75" x14ac:dyDescent="0.35">
      <c r="A19" s="15">
        <v>1491</v>
      </c>
      <c r="B19" s="1" t="s">
        <v>70</v>
      </c>
      <c r="C19" s="1" t="s">
        <v>71</v>
      </c>
      <c r="D19" s="1" t="s">
        <v>72</v>
      </c>
      <c r="E19" s="1" t="str">
        <f t="shared" si="0"/>
        <v>7853471805</v>
      </c>
      <c r="F19" t="str">
        <f t="shared" si="1"/>
        <v>7852537049</v>
      </c>
    </row>
    <row r="20" spans="1:6" ht="12.75" x14ac:dyDescent="0.35">
      <c r="A20" s="15">
        <v>1096</v>
      </c>
      <c r="B20" s="1" t="s">
        <v>73</v>
      </c>
      <c r="C20" s="1"/>
      <c r="D20" s="1" t="s">
        <v>74</v>
      </c>
      <c r="E20" s="1" t="str">
        <f t="shared" si="0"/>
        <v>5105037169</v>
      </c>
      <c r="F20" t="str">
        <f t="shared" si="1"/>
        <v/>
      </c>
    </row>
    <row r="21" spans="1:6" ht="12.75" x14ac:dyDescent="0.35">
      <c r="A21" s="15">
        <v>1064</v>
      </c>
      <c r="B21" s="1" t="s">
        <v>75</v>
      </c>
      <c r="C21" s="1"/>
      <c r="D21" s="1" t="s">
        <v>76</v>
      </c>
      <c r="E21" s="1" t="str">
        <f t="shared" si="0"/>
        <v>3037247371</v>
      </c>
      <c r="F21" t="str">
        <f t="shared" si="1"/>
        <v/>
      </c>
    </row>
    <row r="22" spans="1:6" ht="12.75" x14ac:dyDescent="0.35">
      <c r="A22" s="15">
        <v>1288</v>
      </c>
      <c r="B22" s="1" t="s">
        <v>78</v>
      </c>
      <c r="C22" s="1"/>
      <c r="D22" s="1" t="s">
        <v>79</v>
      </c>
      <c r="E22" s="1" t="str">
        <f t="shared" si="0"/>
        <v>6153902251</v>
      </c>
      <c r="F22" t="str">
        <f t="shared" si="1"/>
        <v/>
      </c>
    </row>
    <row r="23" spans="1:6" ht="12.75" x14ac:dyDescent="0.35">
      <c r="A23" s="15">
        <v>1447</v>
      </c>
      <c r="B23" s="1" t="s">
        <v>80</v>
      </c>
      <c r="C23" s="1" t="s">
        <v>81</v>
      </c>
      <c r="D23" s="1" t="s">
        <v>82</v>
      </c>
      <c r="E23" s="1" t="str">
        <f t="shared" si="0"/>
        <v>8476333216</v>
      </c>
      <c r="F23" t="str">
        <f t="shared" si="1"/>
        <v>8477559041</v>
      </c>
    </row>
    <row r="24" spans="1:6" ht="12.75" x14ac:dyDescent="0.35">
      <c r="A24" s="15">
        <v>1489</v>
      </c>
      <c r="B24" s="1" t="s">
        <v>99</v>
      </c>
      <c r="C24" s="1"/>
      <c r="D24" s="1" t="s">
        <v>100</v>
      </c>
      <c r="E24" s="1" t="str">
        <f t="shared" si="0"/>
        <v>6093733332</v>
      </c>
      <c r="F24" t="str">
        <f t="shared" si="1"/>
        <v/>
      </c>
    </row>
    <row r="25" spans="1:6" ht="12.75" x14ac:dyDescent="0.35">
      <c r="A25" s="15">
        <v>1182</v>
      </c>
      <c r="B25" s="1" t="s">
        <v>103</v>
      </c>
      <c r="C25" s="1" t="s">
        <v>104</v>
      </c>
      <c r="D25" s="1" t="s">
        <v>105</v>
      </c>
      <c r="E25" s="1" t="str">
        <f t="shared" si="0"/>
        <v>7734944195</v>
      </c>
      <c r="F25" t="str">
        <f t="shared" si="1"/>
        <v>7732979391</v>
      </c>
    </row>
    <row r="26" spans="1:6" ht="12.75" x14ac:dyDescent="0.35">
      <c r="A26" s="15">
        <v>1460</v>
      </c>
      <c r="B26" s="1" t="s">
        <v>108</v>
      </c>
      <c r="C26" s="1" t="s">
        <v>111</v>
      </c>
      <c r="D26" s="1" t="s">
        <v>112</v>
      </c>
      <c r="E26" s="1" t="str">
        <f t="shared" si="0"/>
        <v>6083824541</v>
      </c>
      <c r="F26" t="str">
        <f t="shared" si="1"/>
        <v>6083023387</v>
      </c>
    </row>
    <row r="27" spans="1:6" ht="12.75" x14ac:dyDescent="0.35">
      <c r="A27" s="15">
        <v>1104</v>
      </c>
      <c r="B27" s="1" t="s">
        <v>113</v>
      </c>
      <c r="C27" s="1" t="s">
        <v>114</v>
      </c>
      <c r="D27" s="1" t="s">
        <v>116</v>
      </c>
      <c r="E27" s="1" t="str">
        <f t="shared" si="0"/>
        <v>9523349408</v>
      </c>
      <c r="F27" t="str">
        <f t="shared" si="1"/>
        <v>9529389457</v>
      </c>
    </row>
    <row r="28" spans="1:6" ht="12.75" x14ac:dyDescent="0.35">
      <c r="A28" s="15">
        <v>1150</v>
      </c>
      <c r="B28" s="1" t="s">
        <v>118</v>
      </c>
      <c r="C28" s="1" t="s">
        <v>119</v>
      </c>
      <c r="D28" s="1" t="s">
        <v>120</v>
      </c>
      <c r="E28" s="1" t="str">
        <f t="shared" si="0"/>
        <v>6095187697</v>
      </c>
      <c r="F28" t="str">
        <f t="shared" si="1"/>
        <v>6092639243</v>
      </c>
    </row>
    <row r="29" spans="1:6" ht="12.75" x14ac:dyDescent="0.35">
      <c r="A29" s="15">
        <v>1468</v>
      </c>
      <c r="B29" s="1" t="s">
        <v>121</v>
      </c>
      <c r="C29" s="1"/>
      <c r="D29" s="1" t="s">
        <v>122</v>
      </c>
      <c r="E29" s="1" t="str">
        <f t="shared" si="0"/>
        <v>4028965943</v>
      </c>
      <c r="F29" t="str">
        <f t="shared" si="1"/>
        <v/>
      </c>
    </row>
    <row r="30" spans="1:6" ht="12.75" x14ac:dyDescent="0.35">
      <c r="A30" s="15">
        <v>1336</v>
      </c>
      <c r="B30" s="1" t="s">
        <v>123</v>
      </c>
      <c r="C30" s="1"/>
      <c r="D30" s="1" t="s">
        <v>124</v>
      </c>
      <c r="E30" s="1" t="str">
        <f t="shared" si="0"/>
        <v>5089424186</v>
      </c>
      <c r="F30" t="str">
        <f t="shared" si="1"/>
        <v/>
      </c>
    </row>
    <row r="31" spans="1:6" ht="12.75" x14ac:dyDescent="0.35">
      <c r="A31" s="15">
        <v>1257</v>
      </c>
      <c r="B31" s="1" t="s">
        <v>125</v>
      </c>
      <c r="C31" s="1" t="s">
        <v>126</v>
      </c>
      <c r="D31" s="1" t="s">
        <v>127</v>
      </c>
      <c r="E31" s="1" t="str">
        <f t="shared" si="0"/>
        <v>3368227652</v>
      </c>
      <c r="F31" t="str">
        <f t="shared" si="1"/>
        <v>3364673095</v>
      </c>
    </row>
    <row r="32" spans="1:6" ht="12.75" x14ac:dyDescent="0.35">
      <c r="A32" s="15">
        <v>1124</v>
      </c>
      <c r="B32" s="1" t="s">
        <v>128</v>
      </c>
      <c r="C32" s="1"/>
      <c r="D32" s="1" t="s">
        <v>130</v>
      </c>
      <c r="E32" s="1" t="str">
        <f t="shared" si="0"/>
        <v>5109553016</v>
      </c>
      <c r="F32" t="str">
        <f t="shared" si="1"/>
        <v/>
      </c>
    </row>
    <row r="33" spans="1:6" ht="12.75" x14ac:dyDescent="0.35">
      <c r="A33" s="15">
        <v>1081</v>
      </c>
      <c r="B33" s="1" t="s">
        <v>131</v>
      </c>
      <c r="C33" s="1" t="s">
        <v>132</v>
      </c>
      <c r="D33" s="1" t="s">
        <v>133</v>
      </c>
      <c r="E33" s="1" t="str">
        <f t="shared" si="0"/>
        <v>5059758559</v>
      </c>
      <c r="F33" t="str">
        <f t="shared" si="1"/>
        <v>5059501763</v>
      </c>
    </row>
    <row r="34" spans="1:6" ht="12.75" x14ac:dyDescent="0.35">
      <c r="A34" s="15">
        <v>1166</v>
      </c>
      <c r="B34" s="1" t="s">
        <v>134</v>
      </c>
      <c r="C34" s="1" t="s">
        <v>135</v>
      </c>
      <c r="D34" s="1" t="s">
        <v>136</v>
      </c>
      <c r="E34" s="1" t="str">
        <f t="shared" si="0"/>
        <v>2086492373</v>
      </c>
      <c r="F34" t="str">
        <f t="shared" si="1"/>
        <v>2086903315</v>
      </c>
    </row>
    <row r="35" spans="1:6" ht="12.75" x14ac:dyDescent="0.35">
      <c r="A35" s="15">
        <v>1475</v>
      </c>
      <c r="B35" s="1" t="s">
        <v>137</v>
      </c>
      <c r="C35" s="1"/>
      <c r="D35" s="1" t="s">
        <v>138</v>
      </c>
      <c r="E35" s="1" t="str">
        <f t="shared" si="0"/>
        <v>8165579673</v>
      </c>
      <c r="F35" t="str">
        <f t="shared" si="1"/>
        <v/>
      </c>
    </row>
    <row r="36" spans="1:6" ht="12.75" x14ac:dyDescent="0.35">
      <c r="A36" s="15">
        <v>1084</v>
      </c>
      <c r="B36" s="1" t="s">
        <v>139</v>
      </c>
      <c r="C36" s="1" t="s">
        <v>140</v>
      </c>
      <c r="D36" s="1" t="s">
        <v>141</v>
      </c>
      <c r="E36" s="1" t="str">
        <f t="shared" si="0"/>
        <v>5109933758</v>
      </c>
      <c r="F36" t="str">
        <f t="shared" si="1"/>
        <v>5109017640</v>
      </c>
    </row>
    <row r="37" spans="1:6" ht="12.75" x14ac:dyDescent="0.35">
      <c r="A37" s="15">
        <v>1005</v>
      </c>
      <c r="B37" s="1" t="s">
        <v>143</v>
      </c>
      <c r="C37" s="1" t="s">
        <v>145</v>
      </c>
      <c r="D37" s="1" t="s">
        <v>146</v>
      </c>
      <c r="E37" s="1" t="str">
        <f t="shared" si="0"/>
        <v>5135701893</v>
      </c>
      <c r="F37" t="str">
        <f t="shared" si="1"/>
        <v>5135494561</v>
      </c>
    </row>
    <row r="38" spans="1:6" ht="12.75" x14ac:dyDescent="0.35">
      <c r="A38" s="15">
        <v>1228</v>
      </c>
      <c r="B38" s="1" t="s">
        <v>147</v>
      </c>
      <c r="C38" s="1" t="s">
        <v>148</v>
      </c>
      <c r="D38" s="1" t="s">
        <v>149</v>
      </c>
      <c r="E38" s="1" t="str">
        <f t="shared" si="0"/>
        <v>2142891973</v>
      </c>
      <c r="F38" t="str">
        <f t="shared" si="1"/>
        <v>2147856750</v>
      </c>
    </row>
    <row r="39" spans="1:6" ht="12.75" x14ac:dyDescent="0.35">
      <c r="A39" s="15">
        <v>1417</v>
      </c>
      <c r="B39" s="1" t="s">
        <v>150</v>
      </c>
      <c r="C39" s="1" t="s">
        <v>151</v>
      </c>
      <c r="D39" s="1" t="s">
        <v>152</v>
      </c>
      <c r="E39" s="1" t="str">
        <f t="shared" si="0"/>
        <v>4108907866</v>
      </c>
      <c r="F39" t="str">
        <f t="shared" si="1"/>
        <v>4104294888</v>
      </c>
    </row>
    <row r="40" spans="1:6" ht="12.75" x14ac:dyDescent="0.35">
      <c r="A40" s="15">
        <v>1232</v>
      </c>
      <c r="B40" s="1" t="s">
        <v>153</v>
      </c>
      <c r="C40" s="1" t="s">
        <v>154</v>
      </c>
      <c r="D40" s="1" t="s">
        <v>155</v>
      </c>
      <c r="E40" s="1" t="str">
        <f t="shared" si="0"/>
        <v>2014744924</v>
      </c>
      <c r="F40" t="str">
        <f t="shared" si="1"/>
        <v>2013658698</v>
      </c>
    </row>
    <row r="41" spans="1:6" ht="12.75" x14ac:dyDescent="0.35">
      <c r="A41" s="15">
        <v>1049</v>
      </c>
      <c r="B41" s="1" t="s">
        <v>156</v>
      </c>
      <c r="C41" s="1" t="s">
        <v>158</v>
      </c>
      <c r="D41" s="1" t="s">
        <v>160</v>
      </c>
      <c r="E41" s="1" t="str">
        <f t="shared" si="0"/>
        <v>6083367444</v>
      </c>
      <c r="F41" t="str">
        <f t="shared" si="1"/>
        <v>6086587940</v>
      </c>
    </row>
    <row r="42" spans="1:6" ht="12.75" x14ac:dyDescent="0.35">
      <c r="A42" s="15">
        <v>1381</v>
      </c>
      <c r="B42" s="1" t="s">
        <v>161</v>
      </c>
      <c r="C42" s="1" t="s">
        <v>162</v>
      </c>
      <c r="D42" s="1" t="s">
        <v>163</v>
      </c>
      <c r="E42" s="1" t="str">
        <f t="shared" si="0"/>
        <v>7737049903</v>
      </c>
      <c r="F42" t="str">
        <f t="shared" si="1"/>
        <v>7733596109</v>
      </c>
    </row>
    <row r="43" spans="1:6" ht="12.75" x14ac:dyDescent="0.35">
      <c r="A43" s="15">
        <v>1033</v>
      </c>
      <c r="B43" s="1" t="s">
        <v>164</v>
      </c>
      <c r="C43" s="1" t="s">
        <v>165</v>
      </c>
      <c r="D43" s="1" t="s">
        <v>166</v>
      </c>
      <c r="E43" s="1" t="str">
        <f t="shared" si="0"/>
        <v>2017096245</v>
      </c>
      <c r="F43" t="str">
        <f t="shared" si="1"/>
        <v>2013879093</v>
      </c>
    </row>
    <row r="44" spans="1:6" ht="12.75" x14ac:dyDescent="0.35">
      <c r="A44" s="15">
        <v>1416</v>
      </c>
      <c r="B44" s="1" t="s">
        <v>168</v>
      </c>
      <c r="C44" s="1"/>
      <c r="D44" s="1" t="s">
        <v>170</v>
      </c>
      <c r="E44" s="1" t="str">
        <f t="shared" si="0"/>
        <v>5097555393</v>
      </c>
      <c r="F44" t="str">
        <f t="shared" si="1"/>
        <v/>
      </c>
    </row>
    <row r="45" spans="1:6" ht="12.75" x14ac:dyDescent="0.35">
      <c r="A45" s="15">
        <v>1146</v>
      </c>
      <c r="B45" s="1" t="s">
        <v>171</v>
      </c>
      <c r="C45" s="1" t="s">
        <v>172</v>
      </c>
      <c r="D45" s="1" t="s">
        <v>174</v>
      </c>
      <c r="E45" s="1" t="str">
        <f t="shared" si="0"/>
        <v>4103875260</v>
      </c>
      <c r="F45" t="str">
        <f t="shared" si="1"/>
        <v>4107246472</v>
      </c>
    </row>
    <row r="46" spans="1:6" ht="12.75" x14ac:dyDescent="0.35">
      <c r="A46" s="15">
        <v>1498</v>
      </c>
      <c r="B46" s="1" t="s">
        <v>178</v>
      </c>
      <c r="C46" s="1" t="s">
        <v>180</v>
      </c>
      <c r="D46" s="1" t="s">
        <v>181</v>
      </c>
      <c r="E46" s="1" t="str">
        <f t="shared" si="0"/>
        <v>3087262182</v>
      </c>
      <c r="F46" t="str">
        <f t="shared" si="1"/>
        <v>3082506987</v>
      </c>
    </row>
    <row r="47" spans="1:6" ht="12.75" x14ac:dyDescent="0.35">
      <c r="A47" s="15">
        <v>1197</v>
      </c>
      <c r="B47" s="1" t="s">
        <v>182</v>
      </c>
      <c r="C47" s="1" t="s">
        <v>183</v>
      </c>
      <c r="D47" s="1" t="s">
        <v>184</v>
      </c>
      <c r="E47" s="1" t="str">
        <f t="shared" si="0"/>
        <v>8563059731</v>
      </c>
      <c r="F47" t="str">
        <f t="shared" si="1"/>
        <v>8568286021</v>
      </c>
    </row>
    <row r="48" spans="1:6" ht="12.75" x14ac:dyDescent="0.35">
      <c r="A48" s="15">
        <v>1032</v>
      </c>
      <c r="B48" s="1" t="s">
        <v>185</v>
      </c>
      <c r="C48" s="1"/>
      <c r="D48" s="1" t="s">
        <v>186</v>
      </c>
      <c r="E48" s="1" t="str">
        <f t="shared" si="0"/>
        <v>5059773911</v>
      </c>
      <c r="F48" t="str">
        <f t="shared" si="1"/>
        <v/>
      </c>
    </row>
    <row r="49" spans="1:6" ht="12.75" x14ac:dyDescent="0.35">
      <c r="A49" s="15">
        <v>1215</v>
      </c>
      <c r="B49" s="1" t="s">
        <v>188</v>
      </c>
      <c r="C49" s="1" t="s">
        <v>189</v>
      </c>
      <c r="D49" s="1" t="s">
        <v>190</v>
      </c>
      <c r="E49" s="1" t="str">
        <f t="shared" si="0"/>
        <v>2144282285</v>
      </c>
      <c r="F49" t="str">
        <f t="shared" si="1"/>
        <v>2145291949</v>
      </c>
    </row>
    <row r="50" spans="1:6" ht="12.75" x14ac:dyDescent="0.35">
      <c r="A50" s="15">
        <v>1217</v>
      </c>
      <c r="B50" s="1" t="s">
        <v>193</v>
      </c>
      <c r="C50" s="1" t="s">
        <v>196</v>
      </c>
      <c r="D50" s="1" t="s">
        <v>198</v>
      </c>
      <c r="E50" s="1" t="str">
        <f t="shared" si="0"/>
        <v>6104763501</v>
      </c>
      <c r="F50" t="str">
        <f t="shared" si="1"/>
        <v>6107522683</v>
      </c>
    </row>
    <row r="51" spans="1:6" ht="12.75" x14ac:dyDescent="0.35">
      <c r="A51" s="15">
        <v>1387</v>
      </c>
      <c r="B51" s="1" t="s">
        <v>200</v>
      </c>
      <c r="C51" s="1"/>
      <c r="D51" s="1" t="s">
        <v>201</v>
      </c>
      <c r="E51" s="1" t="str">
        <f t="shared" si="0"/>
        <v>9074359166</v>
      </c>
      <c r="F51" t="str">
        <f t="shared" si="1"/>
        <v/>
      </c>
    </row>
    <row r="52" spans="1:6" ht="12.75" x14ac:dyDescent="0.35">
      <c r="A52" s="15">
        <v>1385</v>
      </c>
      <c r="B52" s="1" t="s">
        <v>202</v>
      </c>
      <c r="C52" s="1" t="s">
        <v>203</v>
      </c>
      <c r="D52" s="1" t="s">
        <v>205</v>
      </c>
      <c r="E52" s="1" t="str">
        <f t="shared" si="0"/>
        <v>2166006111</v>
      </c>
      <c r="F52" t="str">
        <f t="shared" si="1"/>
        <v>2168716876</v>
      </c>
    </row>
    <row r="53" spans="1:6" ht="12.75" x14ac:dyDescent="0.35">
      <c r="A53" s="15">
        <v>1280</v>
      </c>
      <c r="B53" s="1" t="s">
        <v>206</v>
      </c>
      <c r="C53" s="1"/>
      <c r="D53" s="1" t="s">
        <v>208</v>
      </c>
      <c r="E53" s="1" t="str">
        <f t="shared" si="0"/>
        <v>2159798776</v>
      </c>
      <c r="F53" t="str">
        <f t="shared" si="1"/>
        <v/>
      </c>
    </row>
    <row r="54" spans="1:6" ht="12.75" x14ac:dyDescent="0.35">
      <c r="A54" s="15">
        <v>1147</v>
      </c>
      <c r="B54" s="1" t="s">
        <v>211</v>
      </c>
      <c r="C54" s="1"/>
      <c r="D54" s="1" t="s">
        <v>213</v>
      </c>
      <c r="E54" s="1" t="str">
        <f t="shared" si="0"/>
        <v>9729346914</v>
      </c>
      <c r="F54" t="str">
        <f t="shared" si="1"/>
        <v/>
      </c>
    </row>
    <row r="55" spans="1:6" ht="12.75" x14ac:dyDescent="0.35">
      <c r="A55" s="15">
        <v>1263</v>
      </c>
      <c r="B55" s="1" t="s">
        <v>216</v>
      </c>
      <c r="C55" s="1"/>
      <c r="D55" s="1" t="s">
        <v>218</v>
      </c>
      <c r="E55" s="1" t="str">
        <f t="shared" si="0"/>
        <v>8472221734</v>
      </c>
      <c r="F55" t="str">
        <f t="shared" si="1"/>
        <v/>
      </c>
    </row>
    <row r="56" spans="1:6" ht="12.75" x14ac:dyDescent="0.35">
      <c r="A56" s="15">
        <v>1116</v>
      </c>
      <c r="B56" s="1" t="s">
        <v>219</v>
      </c>
      <c r="C56" s="1"/>
      <c r="D56" s="1" t="s">
        <v>220</v>
      </c>
      <c r="E56" s="1" t="str">
        <f t="shared" si="0"/>
        <v>4102249462</v>
      </c>
      <c r="F56" t="str">
        <f t="shared" si="1"/>
        <v/>
      </c>
    </row>
    <row r="57" spans="1:6" ht="12.75" x14ac:dyDescent="0.35">
      <c r="A57" s="15">
        <v>1190</v>
      </c>
      <c r="B57" s="1" t="s">
        <v>222</v>
      </c>
      <c r="C57" s="1" t="s">
        <v>223</v>
      </c>
      <c r="D57" s="1" t="s">
        <v>224</v>
      </c>
      <c r="E57" s="1" t="str">
        <f t="shared" si="0"/>
        <v>9256155185</v>
      </c>
      <c r="F57" t="str">
        <f t="shared" si="1"/>
        <v>9259433449</v>
      </c>
    </row>
    <row r="58" spans="1:6" ht="12.75" x14ac:dyDescent="0.35">
      <c r="A58" s="15">
        <v>1199</v>
      </c>
      <c r="B58" s="1" t="s">
        <v>225</v>
      </c>
      <c r="C58" s="1" t="s">
        <v>226</v>
      </c>
      <c r="D58" s="1" t="s">
        <v>227</v>
      </c>
      <c r="E58" s="1" t="str">
        <f t="shared" si="0"/>
        <v>9042353633</v>
      </c>
      <c r="F58" t="str">
        <f t="shared" si="1"/>
        <v>9046274341</v>
      </c>
    </row>
    <row r="59" spans="1:6" ht="12.75" x14ac:dyDescent="0.35">
      <c r="A59" s="15">
        <v>1380</v>
      </c>
      <c r="B59" s="1" t="s">
        <v>228</v>
      </c>
      <c r="C59" s="1"/>
      <c r="D59" s="1" t="s">
        <v>229</v>
      </c>
      <c r="E59" s="1" t="str">
        <f t="shared" si="0"/>
        <v>5106863407</v>
      </c>
      <c r="F59" t="str">
        <f t="shared" si="1"/>
        <v/>
      </c>
    </row>
    <row r="60" spans="1:6" ht="12.75" x14ac:dyDescent="0.35">
      <c r="A60" s="15">
        <v>1186</v>
      </c>
      <c r="B60" s="1" t="s">
        <v>230</v>
      </c>
      <c r="C60" s="1" t="s">
        <v>231</v>
      </c>
      <c r="D60" s="1" t="s">
        <v>232</v>
      </c>
      <c r="E60" s="1" t="str">
        <f t="shared" si="0"/>
        <v>3522422570</v>
      </c>
      <c r="F60" t="str">
        <f t="shared" si="1"/>
        <v>3529905946</v>
      </c>
    </row>
    <row r="61" spans="1:6" ht="12.75" x14ac:dyDescent="0.35">
      <c r="A61" s="15">
        <v>1132</v>
      </c>
      <c r="B61" s="1" t="s">
        <v>234</v>
      </c>
      <c r="C61" s="1"/>
      <c r="D61" s="1" t="s">
        <v>235</v>
      </c>
      <c r="E61" s="1" t="str">
        <f t="shared" si="0"/>
        <v>3036234241</v>
      </c>
      <c r="F61" t="str">
        <f t="shared" si="1"/>
        <v/>
      </c>
    </row>
    <row r="62" spans="1:6" ht="12.75" x14ac:dyDescent="0.35">
      <c r="A62" s="15">
        <v>1463</v>
      </c>
      <c r="B62" s="1" t="s">
        <v>236</v>
      </c>
      <c r="C62" s="1" t="s">
        <v>237</v>
      </c>
      <c r="D62" s="1" t="s">
        <v>238</v>
      </c>
      <c r="E62" s="1" t="str">
        <f t="shared" si="0"/>
        <v>4104731708</v>
      </c>
      <c r="F62" t="str">
        <f t="shared" si="1"/>
        <v>4105227621</v>
      </c>
    </row>
    <row r="63" spans="1:6" ht="12.75" x14ac:dyDescent="0.35">
      <c r="A63" s="15">
        <v>1069</v>
      </c>
      <c r="B63" s="1" t="s">
        <v>239</v>
      </c>
      <c r="C63" s="1"/>
      <c r="D63" s="1" t="s">
        <v>240</v>
      </c>
      <c r="E63" s="1" t="str">
        <f t="shared" si="0"/>
        <v>4109149018</v>
      </c>
      <c r="F63" t="str">
        <f t="shared" si="1"/>
        <v/>
      </c>
    </row>
    <row r="64" spans="1:6" ht="12.75" x14ac:dyDescent="0.35">
      <c r="A64" s="15">
        <v>1372</v>
      </c>
      <c r="B64" s="1" t="s">
        <v>243</v>
      </c>
      <c r="C64" s="1" t="s">
        <v>244</v>
      </c>
      <c r="D64" s="1" t="s">
        <v>245</v>
      </c>
      <c r="E64" s="1" t="str">
        <f t="shared" si="0"/>
        <v>7708443447</v>
      </c>
      <c r="F64" t="str">
        <f t="shared" si="1"/>
        <v>7705844119</v>
      </c>
    </row>
    <row r="65" spans="1:6" ht="12.75" x14ac:dyDescent="0.35">
      <c r="A65" s="15">
        <v>1378</v>
      </c>
      <c r="B65" s="1" t="s">
        <v>246</v>
      </c>
      <c r="C65" s="1" t="s">
        <v>247</v>
      </c>
      <c r="D65" s="1" t="s">
        <v>248</v>
      </c>
      <c r="E65" s="1" t="str">
        <f t="shared" si="0"/>
        <v>7198533600</v>
      </c>
      <c r="F65" t="str">
        <f t="shared" si="1"/>
        <v>7192232074</v>
      </c>
    </row>
    <row r="66" spans="1:6" ht="12.75" x14ac:dyDescent="0.35">
      <c r="A66" s="15">
        <v>1296</v>
      </c>
      <c r="B66" s="1" t="s">
        <v>249</v>
      </c>
      <c r="C66" s="1" t="s">
        <v>250</v>
      </c>
      <c r="D66" s="1" t="s">
        <v>251</v>
      </c>
      <c r="E66" s="1" t="str">
        <f t="shared" si="0"/>
        <v>2697567222</v>
      </c>
      <c r="F66" t="str">
        <f t="shared" si="1"/>
        <v>2694319464</v>
      </c>
    </row>
    <row r="67" spans="1:6" ht="12.75" x14ac:dyDescent="0.35">
      <c r="A67" s="15">
        <v>1171</v>
      </c>
      <c r="B67" s="1" t="s">
        <v>252</v>
      </c>
      <c r="C67" s="1"/>
      <c r="D67" s="1" t="s">
        <v>253</v>
      </c>
      <c r="E67" s="1" t="str">
        <f t="shared" ref="E67:E130" si="2">IF(LEN(SUBSTITUTE(SUBSTITUTE(SUBSTITUTE(B67,"-",""),"(",""),")",""))&gt;10,RIGHT(SUBSTITUTE(SUBSTITUTE(SUBSTITUTE(B67,"-",""),"(",""),")",""),10),SUBSTITUTE(SUBSTITUTE(SUBSTITUTE(B67,"-",""),"(",""),")",""))</f>
        <v>8479799545</v>
      </c>
      <c r="F67" t="str">
        <f t="shared" ref="F67:F130" si="3">IF(LEN(SUBSTITUTE(SUBSTITUTE(SUBSTITUTE(C67,"-",""),"(",""),")",""))&gt;10,RIGHT(SUBSTITUTE(SUBSTITUTE(SUBSTITUTE(C67,"-",""),"(",""),")",""),10),SUBSTITUTE(SUBSTITUTE(SUBSTITUTE(C67,"-",""),"(",""),")",""))</f>
        <v/>
      </c>
    </row>
    <row r="68" spans="1:6" ht="12.75" x14ac:dyDescent="0.35">
      <c r="A68" s="15">
        <v>1484</v>
      </c>
      <c r="B68" s="1" t="s">
        <v>254</v>
      </c>
      <c r="C68" s="1" t="s">
        <v>256</v>
      </c>
      <c r="D68" s="1" t="s">
        <v>257</v>
      </c>
      <c r="E68" s="1" t="str">
        <f t="shared" si="2"/>
        <v>6089677194</v>
      </c>
      <c r="F68" t="str">
        <f t="shared" si="3"/>
        <v>6085866912</v>
      </c>
    </row>
    <row r="69" spans="1:6" ht="12.75" x14ac:dyDescent="0.35">
      <c r="A69" s="15">
        <v>1177</v>
      </c>
      <c r="B69" s="1" t="s">
        <v>259</v>
      </c>
      <c r="C69" s="1" t="s">
        <v>260</v>
      </c>
      <c r="D69" s="1" t="s">
        <v>261</v>
      </c>
      <c r="E69" s="1" t="str">
        <f t="shared" si="2"/>
        <v>5106779785</v>
      </c>
      <c r="F69" t="str">
        <f t="shared" si="3"/>
        <v>5109425916</v>
      </c>
    </row>
    <row r="70" spans="1:6" ht="12.75" x14ac:dyDescent="0.35">
      <c r="A70" s="15">
        <v>1466</v>
      </c>
      <c r="B70" s="1" t="s">
        <v>262</v>
      </c>
      <c r="C70" s="1" t="s">
        <v>263</v>
      </c>
      <c r="D70" s="1" t="s">
        <v>264</v>
      </c>
      <c r="E70" s="1" t="str">
        <f t="shared" si="2"/>
        <v>8475195906</v>
      </c>
      <c r="F70" t="str">
        <f t="shared" si="3"/>
        <v>8477405304</v>
      </c>
    </row>
    <row r="71" spans="1:6" ht="12.75" x14ac:dyDescent="0.35">
      <c r="A71" s="15">
        <v>1445</v>
      </c>
      <c r="B71" s="1" t="s">
        <v>265</v>
      </c>
      <c r="C71" s="1" t="s">
        <v>266</v>
      </c>
      <c r="D71" s="1" t="s">
        <v>267</v>
      </c>
      <c r="E71" s="1" t="str">
        <f t="shared" si="2"/>
        <v>9315539774</v>
      </c>
      <c r="F71" t="str">
        <f t="shared" si="3"/>
        <v>9314866946</v>
      </c>
    </row>
    <row r="72" spans="1:6" ht="12.75" x14ac:dyDescent="0.35">
      <c r="A72" s="15">
        <v>1113</v>
      </c>
      <c r="B72" s="1" t="s">
        <v>268</v>
      </c>
      <c r="C72" s="1" t="s">
        <v>269</v>
      </c>
      <c r="D72" s="1" t="s">
        <v>271</v>
      </c>
      <c r="E72" s="1" t="str">
        <f t="shared" si="2"/>
        <v>9312738709</v>
      </c>
      <c r="F72" t="str">
        <f t="shared" si="3"/>
        <v>9317391551</v>
      </c>
    </row>
    <row r="73" spans="1:6" ht="12.75" x14ac:dyDescent="0.35">
      <c r="A73" s="15">
        <v>1286</v>
      </c>
      <c r="B73" s="1" t="s">
        <v>272</v>
      </c>
      <c r="C73" s="1" t="s">
        <v>273</v>
      </c>
      <c r="D73" s="1" t="s">
        <v>274</v>
      </c>
      <c r="E73" s="1" t="str">
        <f t="shared" si="2"/>
        <v>7756389963</v>
      </c>
      <c r="F73" t="str">
        <f t="shared" si="3"/>
        <v>7755781214</v>
      </c>
    </row>
    <row r="74" spans="1:6" ht="12.75" x14ac:dyDescent="0.35">
      <c r="A74" s="15">
        <v>1270</v>
      </c>
      <c r="B74" s="1" t="s">
        <v>275</v>
      </c>
      <c r="C74" s="1" t="s">
        <v>276</v>
      </c>
      <c r="D74" s="1" t="s">
        <v>277</v>
      </c>
      <c r="E74" s="1" t="str">
        <f t="shared" si="2"/>
        <v>3215185938</v>
      </c>
      <c r="F74" t="str">
        <f t="shared" si="3"/>
        <v>3215972159</v>
      </c>
    </row>
    <row r="75" spans="1:6" ht="12.75" x14ac:dyDescent="0.35">
      <c r="A75" s="15">
        <v>1339</v>
      </c>
      <c r="B75" s="1" t="s">
        <v>278</v>
      </c>
      <c r="C75" s="1" t="s">
        <v>279</v>
      </c>
      <c r="D75" s="1" t="s">
        <v>280</v>
      </c>
      <c r="E75" s="1" t="str">
        <f t="shared" si="2"/>
        <v>4106654903</v>
      </c>
      <c r="F75" t="str">
        <f t="shared" si="3"/>
        <v>4107733862</v>
      </c>
    </row>
    <row r="76" spans="1:6" ht="12.75" x14ac:dyDescent="0.35">
      <c r="A76" s="15">
        <v>1338</v>
      </c>
      <c r="B76" s="1" t="s">
        <v>282</v>
      </c>
      <c r="C76" s="1" t="s">
        <v>283</v>
      </c>
      <c r="D76" s="1" t="s">
        <v>285</v>
      </c>
      <c r="E76" s="1" t="str">
        <f t="shared" si="2"/>
        <v>9203536377</v>
      </c>
      <c r="F76" t="str">
        <f t="shared" si="3"/>
        <v>9203551610</v>
      </c>
    </row>
    <row r="77" spans="1:6" ht="12.75" x14ac:dyDescent="0.35">
      <c r="A77" s="15">
        <v>1040</v>
      </c>
      <c r="B77" s="1" t="s">
        <v>286</v>
      </c>
      <c r="C77" s="1" t="s">
        <v>287</v>
      </c>
      <c r="D77" s="1" t="s">
        <v>288</v>
      </c>
      <c r="E77" s="1" t="str">
        <f t="shared" si="2"/>
        <v>7854637829</v>
      </c>
      <c r="F77" t="str">
        <f t="shared" si="3"/>
        <v>7852197724</v>
      </c>
    </row>
    <row r="78" spans="1:6" ht="12.75" x14ac:dyDescent="0.35">
      <c r="A78" s="15">
        <v>1314</v>
      </c>
      <c r="B78" s="1" t="s">
        <v>289</v>
      </c>
      <c r="C78" s="1" t="s">
        <v>290</v>
      </c>
      <c r="D78" s="1" t="s">
        <v>291</v>
      </c>
      <c r="E78" s="1" t="str">
        <f t="shared" si="2"/>
        <v>2169233715</v>
      </c>
      <c r="F78" t="str">
        <f t="shared" si="3"/>
        <v>2162709653</v>
      </c>
    </row>
    <row r="79" spans="1:6" ht="12.75" x14ac:dyDescent="0.35">
      <c r="A79" s="15">
        <v>1332</v>
      </c>
      <c r="B79" s="1" t="s">
        <v>292</v>
      </c>
      <c r="C79" s="1" t="s">
        <v>293</v>
      </c>
      <c r="D79" s="1" t="s">
        <v>294</v>
      </c>
      <c r="E79" s="1" t="str">
        <f t="shared" si="2"/>
        <v>6074073716</v>
      </c>
      <c r="F79" t="str">
        <f t="shared" si="3"/>
        <v>6073507690</v>
      </c>
    </row>
    <row r="80" spans="1:6" ht="12.75" x14ac:dyDescent="0.35">
      <c r="A80" s="15">
        <v>1010</v>
      </c>
      <c r="B80" s="1" t="s">
        <v>295</v>
      </c>
      <c r="C80" s="1"/>
      <c r="D80" s="1" t="s">
        <v>296</v>
      </c>
      <c r="E80" s="1" t="str">
        <f t="shared" si="2"/>
        <v>4106558723</v>
      </c>
      <c r="F80" t="str">
        <f t="shared" si="3"/>
        <v/>
      </c>
    </row>
    <row r="81" spans="1:6" ht="12.75" x14ac:dyDescent="0.35">
      <c r="A81" s="15">
        <v>1357</v>
      </c>
      <c r="B81" s="1" t="s">
        <v>299</v>
      </c>
      <c r="C81" s="1"/>
      <c r="D81" s="1" t="s">
        <v>300</v>
      </c>
      <c r="E81" s="1" t="str">
        <f t="shared" si="2"/>
        <v>9154521290</v>
      </c>
      <c r="F81" t="str">
        <f t="shared" si="3"/>
        <v/>
      </c>
    </row>
    <row r="82" spans="1:6" ht="12.75" x14ac:dyDescent="0.35">
      <c r="A82" s="15">
        <v>1088</v>
      </c>
      <c r="B82" s="1" t="s">
        <v>301</v>
      </c>
      <c r="C82" s="1" t="s">
        <v>302</v>
      </c>
      <c r="D82" s="1" t="s">
        <v>303</v>
      </c>
      <c r="E82" s="1" t="str">
        <f t="shared" si="2"/>
        <v>8477287286</v>
      </c>
      <c r="F82" t="str">
        <f t="shared" si="3"/>
        <v>8479574614</v>
      </c>
    </row>
    <row r="83" spans="1:6" ht="12.75" x14ac:dyDescent="0.35">
      <c r="A83" s="15">
        <v>1394</v>
      </c>
      <c r="B83" s="1" t="s">
        <v>304</v>
      </c>
      <c r="C83" s="1" t="s">
        <v>305</v>
      </c>
      <c r="D83" s="1" t="s">
        <v>306</v>
      </c>
      <c r="E83" s="1" t="str">
        <f t="shared" si="2"/>
        <v>5096955199</v>
      </c>
      <c r="F83" t="str">
        <f t="shared" si="3"/>
        <v>5095956485</v>
      </c>
    </row>
    <row r="84" spans="1:6" ht="12.75" x14ac:dyDescent="0.35">
      <c r="A84" s="15">
        <v>1077</v>
      </c>
      <c r="B84" s="1" t="s">
        <v>307</v>
      </c>
      <c r="C84" s="1" t="s">
        <v>308</v>
      </c>
      <c r="D84" s="1" t="s">
        <v>309</v>
      </c>
      <c r="E84" s="1" t="str">
        <f t="shared" si="2"/>
        <v>4105204832</v>
      </c>
      <c r="F84" t="str">
        <f t="shared" si="3"/>
        <v>4109576903</v>
      </c>
    </row>
    <row r="85" spans="1:6" ht="12.75" x14ac:dyDescent="0.35">
      <c r="A85" s="15">
        <v>1285</v>
      </c>
      <c r="B85" s="1" t="s">
        <v>312</v>
      </c>
      <c r="C85" s="1" t="s">
        <v>313</v>
      </c>
      <c r="D85" s="1" t="s">
        <v>314</v>
      </c>
      <c r="E85" s="1" t="str">
        <f t="shared" si="2"/>
        <v>7018982154</v>
      </c>
      <c r="F85" t="str">
        <f t="shared" si="3"/>
        <v>7014217080</v>
      </c>
    </row>
    <row r="86" spans="1:6" ht="12.75" x14ac:dyDescent="0.35">
      <c r="A86" s="15">
        <v>1329</v>
      </c>
      <c r="B86" s="1" t="s">
        <v>316</v>
      </c>
      <c r="C86" s="1" t="s">
        <v>318</v>
      </c>
      <c r="D86" s="1" t="s">
        <v>319</v>
      </c>
      <c r="E86" s="1" t="str">
        <f t="shared" si="2"/>
        <v>7062214243</v>
      </c>
      <c r="F86" t="str">
        <f t="shared" si="3"/>
        <v>7066165131</v>
      </c>
    </row>
    <row r="87" spans="1:6" ht="12.75" x14ac:dyDescent="0.35">
      <c r="A87" s="15">
        <v>1085</v>
      </c>
      <c r="B87" s="1" t="s">
        <v>321</v>
      </c>
      <c r="C87" s="1" t="s">
        <v>322</v>
      </c>
      <c r="D87" s="1" t="s">
        <v>323</v>
      </c>
      <c r="E87" s="1" t="str">
        <f t="shared" si="2"/>
        <v>2166577668</v>
      </c>
      <c r="F87" t="str">
        <f t="shared" si="3"/>
        <v>2167338494</v>
      </c>
    </row>
    <row r="88" spans="1:6" ht="12.75" x14ac:dyDescent="0.35">
      <c r="A88" s="15">
        <v>1139</v>
      </c>
      <c r="B88" s="1" t="s">
        <v>326</v>
      </c>
      <c r="C88" s="1"/>
      <c r="D88" s="1" t="s">
        <v>328</v>
      </c>
      <c r="E88" s="1" t="str">
        <f t="shared" si="2"/>
        <v>2143391809</v>
      </c>
      <c r="F88" t="str">
        <f t="shared" si="3"/>
        <v/>
      </c>
    </row>
    <row r="89" spans="1:6" ht="12.75" x14ac:dyDescent="0.35">
      <c r="A89" s="15">
        <v>1158</v>
      </c>
      <c r="B89" s="1" t="s">
        <v>331</v>
      </c>
      <c r="C89" s="1" t="s">
        <v>332</v>
      </c>
      <c r="D89" s="1" t="s">
        <v>333</v>
      </c>
      <c r="E89" s="1" t="str">
        <f t="shared" si="2"/>
        <v>8564875412</v>
      </c>
      <c r="F89" t="str">
        <f t="shared" si="3"/>
        <v>8567023676</v>
      </c>
    </row>
    <row r="90" spans="1:6" ht="12.75" x14ac:dyDescent="0.35">
      <c r="A90" s="15">
        <v>1345</v>
      </c>
      <c r="B90" s="1" t="s">
        <v>335</v>
      </c>
      <c r="C90" s="1" t="s">
        <v>337</v>
      </c>
      <c r="D90" s="1" t="s">
        <v>338</v>
      </c>
      <c r="E90" s="1" t="str">
        <f t="shared" si="2"/>
        <v>4106782473</v>
      </c>
      <c r="F90" t="str">
        <f t="shared" si="3"/>
        <v>4109126032</v>
      </c>
    </row>
    <row r="91" spans="1:6" ht="12.75" x14ac:dyDescent="0.35">
      <c r="A91" s="15">
        <v>1052</v>
      </c>
      <c r="B91" s="1" t="s">
        <v>341</v>
      </c>
      <c r="C91" s="1"/>
      <c r="D91" s="1" t="s">
        <v>342</v>
      </c>
      <c r="E91" s="1" t="str">
        <f t="shared" si="2"/>
        <v>9318756644</v>
      </c>
      <c r="F91" t="str">
        <f t="shared" si="3"/>
        <v/>
      </c>
    </row>
    <row r="92" spans="1:6" ht="12.75" x14ac:dyDescent="0.35">
      <c r="A92" s="15">
        <v>1452</v>
      </c>
      <c r="B92" s="1" t="s">
        <v>343</v>
      </c>
      <c r="C92" s="1" t="s">
        <v>344</v>
      </c>
      <c r="D92" s="1" t="s">
        <v>346</v>
      </c>
      <c r="E92" s="1" t="str">
        <f t="shared" si="2"/>
        <v>9109223672</v>
      </c>
      <c r="F92" t="str">
        <f t="shared" si="3"/>
        <v>9102007912</v>
      </c>
    </row>
    <row r="93" spans="1:6" ht="12.75" x14ac:dyDescent="0.35">
      <c r="A93" s="15">
        <v>1323</v>
      </c>
      <c r="B93" s="1" t="s">
        <v>349</v>
      </c>
      <c r="C93" s="1" t="s">
        <v>351</v>
      </c>
      <c r="D93" s="1" t="s">
        <v>352</v>
      </c>
      <c r="E93" s="1" t="str">
        <f t="shared" si="2"/>
        <v>2108564979</v>
      </c>
      <c r="F93" t="str">
        <f t="shared" si="3"/>
        <v>2106342447</v>
      </c>
    </row>
    <row r="94" spans="1:6" ht="12.75" x14ac:dyDescent="0.35">
      <c r="A94" s="15">
        <v>1102</v>
      </c>
      <c r="B94" s="1" t="s">
        <v>354</v>
      </c>
      <c r="C94" s="1" t="s">
        <v>355</v>
      </c>
      <c r="D94" s="1" t="s">
        <v>356</v>
      </c>
      <c r="E94" s="1" t="str">
        <f t="shared" si="2"/>
        <v>5108287047</v>
      </c>
      <c r="F94" t="str">
        <f t="shared" si="3"/>
        <v>5104727758</v>
      </c>
    </row>
    <row r="95" spans="1:6" ht="12.75" x14ac:dyDescent="0.35">
      <c r="A95" s="15">
        <v>1004</v>
      </c>
      <c r="B95" s="1" t="s">
        <v>358</v>
      </c>
      <c r="C95" s="1"/>
      <c r="D95" s="1" t="s">
        <v>359</v>
      </c>
      <c r="E95" s="1" t="str">
        <f t="shared" si="2"/>
        <v>9073854412</v>
      </c>
      <c r="F95" t="str">
        <f t="shared" si="3"/>
        <v/>
      </c>
    </row>
    <row r="96" spans="1:6" ht="12.75" x14ac:dyDescent="0.35">
      <c r="A96" s="15">
        <v>1129</v>
      </c>
      <c r="B96" s="1" t="s">
        <v>362</v>
      </c>
      <c r="C96" s="1"/>
      <c r="D96" s="1" t="s">
        <v>364</v>
      </c>
      <c r="E96" s="1" t="str">
        <f t="shared" si="2"/>
        <v>3217494981</v>
      </c>
      <c r="F96" t="str">
        <f t="shared" si="3"/>
        <v/>
      </c>
    </row>
    <row r="97" spans="1:6" ht="12.75" x14ac:dyDescent="0.35">
      <c r="A97" s="15">
        <v>1181</v>
      </c>
      <c r="B97" s="1" t="s">
        <v>366</v>
      </c>
      <c r="C97" s="1" t="s">
        <v>368</v>
      </c>
      <c r="D97" s="1" t="s">
        <v>369</v>
      </c>
      <c r="E97" s="1" t="str">
        <f t="shared" si="2"/>
        <v>9256347158</v>
      </c>
      <c r="F97" t="str">
        <f t="shared" si="3"/>
        <v>9255418521</v>
      </c>
    </row>
    <row r="98" spans="1:6" ht="12.75" x14ac:dyDescent="0.35">
      <c r="A98" s="15">
        <v>1137</v>
      </c>
      <c r="B98" s="1" t="s">
        <v>372</v>
      </c>
      <c r="C98" s="1" t="s">
        <v>374</v>
      </c>
      <c r="D98" s="1" t="s">
        <v>375</v>
      </c>
      <c r="E98" s="1" t="str">
        <f t="shared" si="2"/>
        <v>7737754522</v>
      </c>
      <c r="F98" t="str">
        <f t="shared" si="3"/>
        <v>7735391058</v>
      </c>
    </row>
    <row r="99" spans="1:6" ht="12.75" x14ac:dyDescent="0.35">
      <c r="A99" s="15">
        <v>1074</v>
      </c>
      <c r="B99" s="1" t="s">
        <v>377</v>
      </c>
      <c r="C99" s="1" t="s">
        <v>378</v>
      </c>
      <c r="D99" s="1" t="s">
        <v>379</v>
      </c>
      <c r="E99" s="1" t="str">
        <f t="shared" si="2"/>
        <v>9256473298</v>
      </c>
      <c r="F99" t="str">
        <f t="shared" si="3"/>
        <v>9255227798</v>
      </c>
    </row>
    <row r="100" spans="1:6" ht="12.75" x14ac:dyDescent="0.35">
      <c r="A100" s="15">
        <v>1007</v>
      </c>
      <c r="B100" s="1" t="s">
        <v>380</v>
      </c>
      <c r="C100" s="1" t="s">
        <v>381</v>
      </c>
      <c r="D100" s="1" t="s">
        <v>382</v>
      </c>
      <c r="E100" s="1" t="str">
        <f t="shared" si="2"/>
        <v>7735736914</v>
      </c>
      <c r="F100" t="str">
        <f t="shared" si="3"/>
        <v>7739248565</v>
      </c>
    </row>
    <row r="101" spans="1:6" ht="12.75" x14ac:dyDescent="0.35">
      <c r="A101" s="15">
        <v>1411</v>
      </c>
      <c r="B101" s="1" t="s">
        <v>383</v>
      </c>
      <c r="C101" s="1" t="s">
        <v>384</v>
      </c>
      <c r="D101" s="1" t="s">
        <v>386</v>
      </c>
      <c r="E101" s="1" t="str">
        <f t="shared" si="2"/>
        <v>3034021940</v>
      </c>
      <c r="F101" t="str">
        <f t="shared" si="3"/>
        <v>3039977760</v>
      </c>
    </row>
    <row r="102" spans="1:6" ht="12.75" x14ac:dyDescent="0.35">
      <c r="A102" s="15">
        <v>1054</v>
      </c>
      <c r="B102" s="1" t="s">
        <v>390</v>
      </c>
      <c r="C102" s="1" t="s">
        <v>391</v>
      </c>
      <c r="D102" s="1" t="s">
        <v>393</v>
      </c>
      <c r="E102" s="1" t="str">
        <f t="shared" si="2"/>
        <v>6108145533</v>
      </c>
      <c r="F102" t="str">
        <f t="shared" si="3"/>
        <v>6103797125</v>
      </c>
    </row>
    <row r="103" spans="1:6" ht="12.75" x14ac:dyDescent="0.35">
      <c r="A103" s="15">
        <v>1076</v>
      </c>
      <c r="B103" s="1" t="s">
        <v>394</v>
      </c>
      <c r="C103" s="1" t="s">
        <v>395</v>
      </c>
      <c r="D103" s="1" t="s">
        <v>396</v>
      </c>
      <c r="E103" s="1" t="str">
        <f t="shared" si="2"/>
        <v>5858668313</v>
      </c>
      <c r="F103" t="str">
        <f t="shared" si="3"/>
        <v>5854984278</v>
      </c>
    </row>
    <row r="104" spans="1:6" ht="12.75" x14ac:dyDescent="0.35">
      <c r="A104" s="15">
        <v>1247</v>
      </c>
      <c r="B104" s="1" t="s">
        <v>397</v>
      </c>
      <c r="C104" s="1"/>
      <c r="D104" s="1" t="s">
        <v>398</v>
      </c>
      <c r="E104" s="1" t="str">
        <f t="shared" si="2"/>
        <v>9797188968</v>
      </c>
      <c r="F104" t="str">
        <f t="shared" si="3"/>
        <v/>
      </c>
    </row>
    <row r="105" spans="1:6" ht="12.75" x14ac:dyDescent="0.35">
      <c r="A105" s="15">
        <v>1024</v>
      </c>
      <c r="B105" s="1" t="s">
        <v>401</v>
      </c>
      <c r="C105" s="1"/>
      <c r="D105" s="1" t="s">
        <v>403</v>
      </c>
      <c r="E105" s="1" t="str">
        <f t="shared" si="2"/>
        <v>5189667987</v>
      </c>
      <c r="F105" t="str">
        <f t="shared" si="3"/>
        <v/>
      </c>
    </row>
    <row r="106" spans="1:6" ht="12.75" x14ac:dyDescent="0.35">
      <c r="A106" s="15">
        <v>1383</v>
      </c>
      <c r="B106" s="1" t="s">
        <v>407</v>
      </c>
      <c r="C106" s="1"/>
      <c r="D106" s="1" t="s">
        <v>409</v>
      </c>
      <c r="E106" s="1" t="str">
        <f t="shared" si="2"/>
        <v>5309869272</v>
      </c>
      <c r="F106" t="str">
        <f t="shared" si="3"/>
        <v/>
      </c>
    </row>
    <row r="107" spans="1:6" ht="12.75" x14ac:dyDescent="0.35">
      <c r="A107" s="15">
        <v>1244</v>
      </c>
      <c r="B107" s="1" t="s">
        <v>410</v>
      </c>
      <c r="C107" s="1" t="s">
        <v>411</v>
      </c>
      <c r="D107" s="1" t="s">
        <v>412</v>
      </c>
      <c r="E107" s="1" t="str">
        <f t="shared" si="2"/>
        <v>2154915633</v>
      </c>
      <c r="F107" t="str">
        <f t="shared" si="3"/>
        <v>2156472158</v>
      </c>
    </row>
    <row r="108" spans="1:6" ht="12.75" x14ac:dyDescent="0.35">
      <c r="A108" s="15">
        <v>1180</v>
      </c>
      <c r="B108" s="1" t="s">
        <v>413</v>
      </c>
      <c r="C108" s="1" t="s">
        <v>414</v>
      </c>
      <c r="D108" s="1" t="s">
        <v>415</v>
      </c>
      <c r="E108" s="1" t="str">
        <f t="shared" si="2"/>
        <v>2019711638</v>
      </c>
      <c r="F108" t="str">
        <f t="shared" si="3"/>
        <v>2012478925</v>
      </c>
    </row>
    <row r="109" spans="1:6" ht="12.75" x14ac:dyDescent="0.35">
      <c r="A109" s="15">
        <v>1414</v>
      </c>
      <c r="B109" s="1" t="s">
        <v>420</v>
      </c>
      <c r="C109" s="1" t="s">
        <v>421</v>
      </c>
      <c r="D109" s="1" t="s">
        <v>422</v>
      </c>
      <c r="E109" s="1" t="str">
        <f t="shared" si="2"/>
        <v>7732259985</v>
      </c>
      <c r="F109" t="str">
        <f t="shared" si="3"/>
        <v>7738572231</v>
      </c>
    </row>
    <row r="110" spans="1:6" ht="12.75" x14ac:dyDescent="0.35">
      <c r="A110" s="15">
        <v>1473</v>
      </c>
      <c r="B110" s="1" t="s">
        <v>423</v>
      </c>
      <c r="C110" s="1" t="s">
        <v>425</v>
      </c>
      <c r="D110" s="1" t="s">
        <v>426</v>
      </c>
      <c r="E110" s="1" t="str">
        <f t="shared" si="2"/>
        <v>3525988301</v>
      </c>
      <c r="F110" t="str">
        <f t="shared" si="3"/>
        <v>3529476152</v>
      </c>
    </row>
    <row r="111" spans="1:6" ht="12.75" x14ac:dyDescent="0.35">
      <c r="A111" s="15">
        <v>1343</v>
      </c>
      <c r="B111" s="1" t="s">
        <v>430</v>
      </c>
      <c r="C111" s="1" t="s">
        <v>432</v>
      </c>
      <c r="D111" s="1" t="s">
        <v>434</v>
      </c>
      <c r="E111" s="1" t="str">
        <f t="shared" si="2"/>
        <v>5088559887</v>
      </c>
      <c r="F111" t="str">
        <f t="shared" si="3"/>
        <v>5088977916</v>
      </c>
    </row>
    <row r="112" spans="1:6" ht="12.75" x14ac:dyDescent="0.35">
      <c r="A112" s="15">
        <v>1265</v>
      </c>
      <c r="B112" s="1" t="s">
        <v>436</v>
      </c>
      <c r="C112" s="1"/>
      <c r="D112" s="1" t="s">
        <v>437</v>
      </c>
      <c r="E112" s="1" t="str">
        <f t="shared" si="2"/>
        <v>3034042210</v>
      </c>
      <c r="F112" t="str">
        <f t="shared" si="3"/>
        <v/>
      </c>
    </row>
    <row r="113" spans="1:6" ht="12.75" x14ac:dyDescent="0.35">
      <c r="A113" s="15">
        <v>1365</v>
      </c>
      <c r="B113" s="1" t="s">
        <v>438</v>
      </c>
      <c r="C113" s="1" t="s">
        <v>439</v>
      </c>
      <c r="D113" s="1" t="s">
        <v>440</v>
      </c>
      <c r="E113" s="1" t="str">
        <f t="shared" si="2"/>
        <v>2018252514</v>
      </c>
      <c r="F113" t="str">
        <f t="shared" si="3"/>
        <v>2017498866</v>
      </c>
    </row>
    <row r="114" spans="1:6" ht="12.75" x14ac:dyDescent="0.35">
      <c r="A114" s="15">
        <v>1067</v>
      </c>
      <c r="B114" s="1" t="s">
        <v>443</v>
      </c>
      <c r="C114" s="1"/>
      <c r="D114" s="1" t="s">
        <v>445</v>
      </c>
      <c r="E114" s="1" t="str">
        <f t="shared" si="2"/>
        <v>9077979628</v>
      </c>
      <c r="F114" t="str">
        <f t="shared" si="3"/>
        <v/>
      </c>
    </row>
    <row r="115" spans="1:6" ht="12.75" x14ac:dyDescent="0.35">
      <c r="A115" s="15">
        <v>1369</v>
      </c>
      <c r="B115" s="1" t="s">
        <v>449</v>
      </c>
      <c r="C115" s="1"/>
      <c r="D115" s="1" t="s">
        <v>451</v>
      </c>
      <c r="E115" s="1" t="str">
        <f t="shared" si="2"/>
        <v>9527027993</v>
      </c>
      <c r="F115" t="str">
        <f t="shared" si="3"/>
        <v/>
      </c>
    </row>
    <row r="116" spans="1:6" ht="12.75" x14ac:dyDescent="0.35">
      <c r="A116" s="15">
        <v>1480</v>
      </c>
      <c r="B116" s="1" t="s">
        <v>452</v>
      </c>
      <c r="C116" s="1" t="s">
        <v>453</v>
      </c>
      <c r="D116" s="1" t="s">
        <v>454</v>
      </c>
      <c r="E116" s="1" t="str">
        <f t="shared" si="2"/>
        <v>5109748671</v>
      </c>
      <c r="F116" t="str">
        <f t="shared" si="3"/>
        <v>5105093496</v>
      </c>
    </row>
    <row r="117" spans="1:6" ht="12.75" x14ac:dyDescent="0.35">
      <c r="A117" s="15">
        <v>1348</v>
      </c>
      <c r="B117" s="1" t="s">
        <v>455</v>
      </c>
      <c r="C117" s="1" t="s">
        <v>456</v>
      </c>
      <c r="D117" s="1" t="s">
        <v>458</v>
      </c>
      <c r="E117" s="1" t="str">
        <f t="shared" si="2"/>
        <v>4195715920</v>
      </c>
      <c r="F117" t="str">
        <f t="shared" si="3"/>
        <v>4194886648</v>
      </c>
    </row>
    <row r="118" spans="1:6" ht="12.75" x14ac:dyDescent="0.35">
      <c r="A118" s="15">
        <v>1470</v>
      </c>
      <c r="B118" s="1" t="s">
        <v>462</v>
      </c>
      <c r="C118" s="1"/>
      <c r="D118" s="1" t="s">
        <v>463</v>
      </c>
      <c r="E118" s="1" t="str">
        <f t="shared" si="2"/>
        <v>9725581665</v>
      </c>
      <c r="F118" t="str">
        <f t="shared" si="3"/>
        <v/>
      </c>
    </row>
    <row r="119" spans="1:6" ht="12.75" x14ac:dyDescent="0.35">
      <c r="A119" s="15">
        <v>1119</v>
      </c>
      <c r="B119" s="1" t="s">
        <v>464</v>
      </c>
      <c r="C119" s="1"/>
      <c r="D119" s="1" t="s">
        <v>466</v>
      </c>
      <c r="E119" s="1" t="str">
        <f t="shared" si="2"/>
        <v>2297353378</v>
      </c>
      <c r="F119" t="str">
        <f t="shared" si="3"/>
        <v/>
      </c>
    </row>
    <row r="120" spans="1:6" ht="12.75" x14ac:dyDescent="0.35">
      <c r="A120" s="15">
        <v>1340</v>
      </c>
      <c r="B120" s="1" t="s">
        <v>468</v>
      </c>
      <c r="C120" s="1" t="s">
        <v>469</v>
      </c>
      <c r="D120" s="1" t="s">
        <v>470</v>
      </c>
      <c r="E120" s="1" t="str">
        <f t="shared" si="2"/>
        <v>7196691664</v>
      </c>
      <c r="F120" t="str">
        <f t="shared" si="3"/>
        <v>7195479543</v>
      </c>
    </row>
    <row r="121" spans="1:6" ht="12.75" x14ac:dyDescent="0.35">
      <c r="A121" s="15">
        <v>1006</v>
      </c>
      <c r="B121" s="1" t="s">
        <v>472</v>
      </c>
      <c r="C121" s="1"/>
      <c r="D121" s="1" t="s">
        <v>475</v>
      </c>
      <c r="E121" s="1" t="str">
        <f t="shared" si="2"/>
        <v>4195032484</v>
      </c>
      <c r="F121" t="str">
        <f t="shared" si="3"/>
        <v/>
      </c>
    </row>
    <row r="122" spans="1:6" ht="12.75" x14ac:dyDescent="0.35">
      <c r="A122" s="15">
        <v>1439</v>
      </c>
      <c r="B122" s="1" t="s">
        <v>479</v>
      </c>
      <c r="C122" s="1" t="s">
        <v>480</v>
      </c>
      <c r="D122" s="1" t="s">
        <v>481</v>
      </c>
      <c r="E122" s="1" t="str">
        <f t="shared" si="2"/>
        <v>8597177638</v>
      </c>
      <c r="F122" t="str">
        <f t="shared" si="3"/>
        <v>8593084286</v>
      </c>
    </row>
    <row r="123" spans="1:6" ht="12.75" x14ac:dyDescent="0.35">
      <c r="A123" s="15">
        <v>1112</v>
      </c>
      <c r="B123" s="1" t="s">
        <v>482</v>
      </c>
      <c r="C123" s="1" t="s">
        <v>483</v>
      </c>
      <c r="D123" s="1" t="s">
        <v>484</v>
      </c>
      <c r="E123" s="1" t="str">
        <f t="shared" si="2"/>
        <v>9726663413</v>
      </c>
      <c r="F123" t="str">
        <f t="shared" si="3"/>
        <v>9727424000</v>
      </c>
    </row>
    <row r="124" spans="1:6" ht="12.75" x14ac:dyDescent="0.35">
      <c r="A124" s="15">
        <v>1174</v>
      </c>
      <c r="B124" s="1" t="s">
        <v>485</v>
      </c>
      <c r="C124" s="1"/>
      <c r="D124" s="1" t="s">
        <v>487</v>
      </c>
      <c r="E124" s="1" t="str">
        <f t="shared" si="2"/>
        <v>4102099545</v>
      </c>
      <c r="F124" t="str">
        <f t="shared" si="3"/>
        <v/>
      </c>
    </row>
    <row r="125" spans="1:6" ht="12.75" x14ac:dyDescent="0.35">
      <c r="A125" s="15">
        <v>1375</v>
      </c>
      <c r="B125" s="1" t="s">
        <v>489</v>
      </c>
      <c r="C125" s="1" t="s">
        <v>491</v>
      </c>
      <c r="D125" s="1" t="s">
        <v>492</v>
      </c>
      <c r="E125" s="1" t="str">
        <f t="shared" si="2"/>
        <v>2602733725</v>
      </c>
      <c r="F125" t="str">
        <f t="shared" si="3"/>
        <v>2603824869</v>
      </c>
    </row>
    <row r="126" spans="1:6" ht="12.75" x14ac:dyDescent="0.35">
      <c r="A126" s="15">
        <v>1134</v>
      </c>
      <c r="B126" s="1" t="s">
        <v>496</v>
      </c>
      <c r="C126" s="1" t="s">
        <v>497</v>
      </c>
      <c r="D126" s="1" t="s">
        <v>498</v>
      </c>
      <c r="E126" s="1" t="str">
        <f t="shared" si="2"/>
        <v>6095243586</v>
      </c>
      <c r="F126" t="str">
        <f t="shared" si="3"/>
        <v>6092348376</v>
      </c>
    </row>
    <row r="127" spans="1:6" ht="12.75" x14ac:dyDescent="0.35">
      <c r="A127" s="15">
        <v>1121</v>
      </c>
      <c r="B127" s="1" t="s">
        <v>499</v>
      </c>
      <c r="C127" s="1"/>
      <c r="D127" s="1" t="s">
        <v>500</v>
      </c>
      <c r="E127" s="1" t="str">
        <f t="shared" si="2"/>
        <v>2016721553</v>
      </c>
      <c r="F127" t="str">
        <f t="shared" si="3"/>
        <v/>
      </c>
    </row>
    <row r="128" spans="1:6" ht="12.75" x14ac:dyDescent="0.35">
      <c r="A128" s="15">
        <v>1039</v>
      </c>
      <c r="B128" s="1" t="s">
        <v>503</v>
      </c>
      <c r="C128" s="1" t="s">
        <v>506</v>
      </c>
      <c r="D128" s="1" t="s">
        <v>508</v>
      </c>
      <c r="E128" s="1" t="str">
        <f t="shared" si="2"/>
        <v>2108129597</v>
      </c>
      <c r="F128" t="str">
        <f t="shared" si="3"/>
        <v>2103006244</v>
      </c>
    </row>
    <row r="129" spans="1:6" ht="12.75" x14ac:dyDescent="0.35">
      <c r="A129" s="15">
        <v>1079</v>
      </c>
      <c r="B129" s="1" t="s">
        <v>511</v>
      </c>
      <c r="C129" s="1" t="s">
        <v>512</v>
      </c>
      <c r="D129" s="1" t="s">
        <v>513</v>
      </c>
      <c r="E129" s="1" t="str">
        <f t="shared" si="2"/>
        <v>7734465569</v>
      </c>
      <c r="F129" t="str">
        <f t="shared" si="3"/>
        <v>7733523437</v>
      </c>
    </row>
    <row r="130" spans="1:6" ht="12.75" x14ac:dyDescent="0.35">
      <c r="A130" s="15">
        <v>1422</v>
      </c>
      <c r="B130" s="1" t="s">
        <v>514</v>
      </c>
      <c r="C130" s="1" t="s">
        <v>515</v>
      </c>
      <c r="D130" s="1" t="s">
        <v>516</v>
      </c>
      <c r="E130" s="1" t="str">
        <f t="shared" si="2"/>
        <v>3037767548</v>
      </c>
      <c r="F130" t="str">
        <f t="shared" si="3"/>
        <v>3038455408</v>
      </c>
    </row>
    <row r="131" spans="1:6" ht="12.75" x14ac:dyDescent="0.35">
      <c r="A131" s="15">
        <v>1140</v>
      </c>
      <c r="B131" s="1" t="s">
        <v>519</v>
      </c>
      <c r="C131" s="1" t="s">
        <v>520</v>
      </c>
      <c r="D131" s="1" t="s">
        <v>522</v>
      </c>
      <c r="E131" s="1" t="str">
        <f t="shared" ref="E131:E136" si="4">IF(LEN(SUBSTITUTE(SUBSTITUTE(SUBSTITUTE(B131,"-",""),"(",""),")",""))&gt;10,RIGHT(SUBSTITUTE(SUBSTITUTE(SUBSTITUTE(B131,"-",""),"(",""),")",""),10),SUBSTITUTE(SUBSTITUTE(SUBSTITUTE(B131,"-",""),"(",""),")",""))</f>
        <v>3123035453</v>
      </c>
      <c r="F131" t="str">
        <f t="shared" ref="F131:F136" si="5">IF(LEN(SUBSTITUTE(SUBSTITUTE(SUBSTITUTE(C131,"-",""),"(",""),")",""))&gt;10,RIGHT(SUBSTITUTE(SUBSTITUTE(SUBSTITUTE(C131,"-",""),"(",""),")",""),10),SUBSTITUTE(SUBSTITUTE(SUBSTITUTE(C131,"-",""),"(",""),")",""))</f>
        <v>3125122338</v>
      </c>
    </row>
    <row r="132" spans="1:6" ht="12.75" x14ac:dyDescent="0.35">
      <c r="A132" s="15">
        <v>1070</v>
      </c>
      <c r="B132" s="1" t="s">
        <v>525</v>
      </c>
      <c r="C132" s="1" t="s">
        <v>526</v>
      </c>
      <c r="D132" s="1" t="s">
        <v>527</v>
      </c>
      <c r="E132" s="1" t="str">
        <f t="shared" si="4"/>
        <v>2088625339</v>
      </c>
      <c r="F132" t="str">
        <f t="shared" si="5"/>
        <v>2087378439</v>
      </c>
    </row>
    <row r="133" spans="1:6" ht="12.75" x14ac:dyDescent="0.35">
      <c r="A133" s="15">
        <v>1352</v>
      </c>
      <c r="B133" s="1" t="s">
        <v>529</v>
      </c>
      <c r="C133" s="1"/>
      <c r="D133" s="1" t="s">
        <v>530</v>
      </c>
      <c r="E133" s="1" t="str">
        <f t="shared" si="4"/>
        <v>8473532156</v>
      </c>
      <c r="F133" t="str">
        <f t="shared" si="5"/>
        <v/>
      </c>
    </row>
    <row r="134" spans="1:6" ht="12.75" x14ac:dyDescent="0.35">
      <c r="A134" s="15">
        <v>1094</v>
      </c>
      <c r="B134" s="1" t="s">
        <v>533</v>
      </c>
      <c r="C134" s="1" t="s">
        <v>535</v>
      </c>
      <c r="D134" s="1" t="s">
        <v>537</v>
      </c>
      <c r="E134" s="1" t="str">
        <f t="shared" si="4"/>
        <v>9078705536</v>
      </c>
      <c r="F134" t="str">
        <f t="shared" si="5"/>
        <v>9079149482</v>
      </c>
    </row>
    <row r="135" spans="1:6" ht="12.75" x14ac:dyDescent="0.35">
      <c r="A135" s="15">
        <v>1023</v>
      </c>
      <c r="B135" s="1" t="s">
        <v>538</v>
      </c>
      <c r="C135" s="1"/>
      <c r="D135" s="1" t="s">
        <v>539</v>
      </c>
      <c r="E135" s="1" t="str">
        <f t="shared" si="4"/>
        <v>9723039197</v>
      </c>
      <c r="F135" t="str">
        <f t="shared" si="5"/>
        <v/>
      </c>
    </row>
    <row r="136" spans="1:6" ht="12.75" x14ac:dyDescent="0.35">
      <c r="A136" s="15">
        <v>1041</v>
      </c>
      <c r="B136" s="1" t="s">
        <v>540</v>
      </c>
      <c r="C136" s="1" t="s">
        <v>541</v>
      </c>
      <c r="D136" s="1" t="s">
        <v>543</v>
      </c>
      <c r="E136" s="1" t="str">
        <f t="shared" si="4"/>
        <v>5415488197</v>
      </c>
      <c r="F136" t="str">
        <f t="shared" si="5"/>
        <v>5419932611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EAA7-5743-4FE6-B87A-5BF9B4760743}">
  <dimension ref="A1:J34"/>
  <sheetViews>
    <sheetView workbookViewId="0">
      <selection activeCell="D35" sqref="D35"/>
    </sheetView>
  </sheetViews>
  <sheetFormatPr defaultRowHeight="12.75" x14ac:dyDescent="0.35"/>
  <cols>
    <col min="1" max="1" width="18.46484375" bestFit="1" customWidth="1"/>
    <col min="2" max="2" width="30.6640625" bestFit="1" customWidth="1"/>
    <col min="4" max="4" width="13.1328125" bestFit="1" customWidth="1"/>
    <col min="5" max="5" width="14.33203125" bestFit="1" customWidth="1"/>
    <col min="7" max="7" width="13.1328125" bestFit="1" customWidth="1"/>
    <col min="8" max="8" width="21.46484375" bestFit="1" customWidth="1"/>
    <col min="9" max="9" width="28.33203125" bestFit="1" customWidth="1"/>
    <col min="10" max="10" width="24.06640625" bestFit="1" customWidth="1"/>
    <col min="11" max="11" width="13.1328125" bestFit="1" customWidth="1"/>
    <col min="12" max="12" width="24.06640625" bestFit="1" customWidth="1"/>
  </cols>
  <sheetData>
    <row r="1" spans="1:10" x14ac:dyDescent="0.35">
      <c r="A1" s="28" t="s">
        <v>1111</v>
      </c>
      <c r="B1" t="s">
        <v>1120</v>
      </c>
      <c r="D1" s="28" t="s">
        <v>1111</v>
      </c>
      <c r="E1" t="s">
        <v>1116</v>
      </c>
      <c r="G1" s="28" t="s">
        <v>1111</v>
      </c>
      <c r="H1" t="s">
        <v>1117</v>
      </c>
      <c r="I1" t="s">
        <v>1118</v>
      </c>
      <c r="J1" t="s">
        <v>1119</v>
      </c>
    </row>
    <row r="2" spans="1:10" x14ac:dyDescent="0.35">
      <c r="A2" s="29" t="s">
        <v>1114</v>
      </c>
      <c r="B2" s="30">
        <v>91</v>
      </c>
      <c r="D2" s="29">
        <v>2003</v>
      </c>
      <c r="E2" s="30">
        <v>11</v>
      </c>
      <c r="G2" s="29" t="s">
        <v>501</v>
      </c>
      <c r="H2" s="30">
        <v>200</v>
      </c>
      <c r="I2" s="30">
        <v>30.633333333333336</v>
      </c>
      <c r="J2" s="30">
        <v>25.25</v>
      </c>
    </row>
    <row r="3" spans="1:10" x14ac:dyDescent="0.35">
      <c r="A3" s="29" t="s">
        <v>1113</v>
      </c>
      <c r="B3" s="30">
        <v>31</v>
      </c>
      <c r="D3" s="29">
        <v>2015</v>
      </c>
      <c r="E3" s="30">
        <v>9</v>
      </c>
      <c r="G3" s="29" t="s">
        <v>587</v>
      </c>
      <c r="H3" s="30">
        <v>220</v>
      </c>
      <c r="I3" s="30">
        <v>39.979999999999997</v>
      </c>
      <c r="J3" s="30">
        <v>23.333333333333332</v>
      </c>
    </row>
    <row r="4" spans="1:10" x14ac:dyDescent="0.35">
      <c r="A4" s="29" t="s">
        <v>1115</v>
      </c>
      <c r="B4" s="30">
        <v>13</v>
      </c>
      <c r="D4" s="29">
        <v>2008</v>
      </c>
      <c r="E4" s="30">
        <v>9</v>
      </c>
      <c r="G4" s="29" t="s">
        <v>406</v>
      </c>
      <c r="H4" s="30">
        <v>185.33333333333334</v>
      </c>
      <c r="I4" s="30">
        <v>33.096666666666664</v>
      </c>
      <c r="J4" s="30">
        <v>25</v>
      </c>
    </row>
    <row r="5" spans="1:10" x14ac:dyDescent="0.35">
      <c r="A5" s="29" t="s">
        <v>1112</v>
      </c>
      <c r="B5" s="30">
        <v>135</v>
      </c>
      <c r="D5" s="29">
        <v>2004</v>
      </c>
      <c r="E5" s="30">
        <v>9</v>
      </c>
      <c r="G5" s="29" t="s">
        <v>809</v>
      </c>
      <c r="H5" s="30">
        <v>206.25</v>
      </c>
      <c r="I5" s="30">
        <v>26.78125</v>
      </c>
      <c r="J5" s="30">
        <v>24.25</v>
      </c>
    </row>
    <row r="6" spans="1:10" x14ac:dyDescent="0.35">
      <c r="D6" s="29">
        <v>2009</v>
      </c>
      <c r="E6" s="30">
        <v>8</v>
      </c>
      <c r="G6" s="29" t="s">
        <v>548</v>
      </c>
      <c r="H6" s="30">
        <v>256</v>
      </c>
      <c r="I6" s="30">
        <v>40.253999999999998</v>
      </c>
      <c r="J6" s="30">
        <v>20.6</v>
      </c>
    </row>
    <row r="7" spans="1:10" x14ac:dyDescent="0.35">
      <c r="D7" s="29">
        <v>2016</v>
      </c>
      <c r="E7" s="30">
        <v>8</v>
      </c>
      <c r="G7" s="29" t="s">
        <v>142</v>
      </c>
      <c r="H7" s="30">
        <v>171.11111111111111</v>
      </c>
      <c r="I7" s="30">
        <v>20.02277777777778</v>
      </c>
      <c r="J7" s="30">
        <v>28.444444444444443</v>
      </c>
    </row>
    <row r="8" spans="1:10" x14ac:dyDescent="0.35">
      <c r="A8" s="28" t="s">
        <v>1111</v>
      </c>
      <c r="B8" t="s">
        <v>1120</v>
      </c>
      <c r="D8" s="29">
        <v>2007</v>
      </c>
      <c r="E8" s="30">
        <v>8</v>
      </c>
      <c r="G8" s="29" t="s">
        <v>447</v>
      </c>
      <c r="H8" s="30">
        <v>194.83333333333334</v>
      </c>
      <c r="I8" s="30">
        <v>23.430833333333336</v>
      </c>
      <c r="J8" s="30">
        <v>24.5</v>
      </c>
    </row>
    <row r="9" spans="1:10" x14ac:dyDescent="0.35">
      <c r="A9" s="29">
        <v>1</v>
      </c>
      <c r="B9" s="30">
        <v>87</v>
      </c>
      <c r="D9" s="29">
        <v>2011</v>
      </c>
      <c r="E9" s="30">
        <v>8</v>
      </c>
      <c r="G9" s="29" t="s">
        <v>91</v>
      </c>
      <c r="H9" s="30">
        <v>199.54545454545453</v>
      </c>
      <c r="I9" s="30">
        <v>24.213636363636361</v>
      </c>
      <c r="J9" s="30">
        <v>20.100000000000001</v>
      </c>
    </row>
    <row r="10" spans="1:10" x14ac:dyDescent="0.35">
      <c r="A10" s="29">
        <v>2</v>
      </c>
      <c r="B10" s="30">
        <v>35</v>
      </c>
      <c r="D10" s="29">
        <v>2014</v>
      </c>
      <c r="E10" s="30">
        <v>7</v>
      </c>
      <c r="G10" s="29" t="s">
        <v>241</v>
      </c>
      <c r="H10" s="30">
        <v>170.09090909090909</v>
      </c>
      <c r="I10" s="30">
        <v>21.047272727272727</v>
      </c>
      <c r="J10" s="30">
        <v>22.818181818181817</v>
      </c>
    </row>
    <row r="11" spans="1:10" x14ac:dyDescent="0.35">
      <c r="A11" s="29">
        <v>0</v>
      </c>
      <c r="B11" s="30">
        <v>13</v>
      </c>
      <c r="D11" s="29">
        <v>2012</v>
      </c>
      <c r="E11" s="30">
        <v>7</v>
      </c>
      <c r="G11" s="29" t="s">
        <v>365</v>
      </c>
      <c r="H11" s="30">
        <v>160.4</v>
      </c>
      <c r="I11" s="30">
        <v>20.277000000000001</v>
      </c>
      <c r="J11" s="30">
        <v>25</v>
      </c>
    </row>
    <row r="12" spans="1:10" x14ac:dyDescent="0.35">
      <c r="A12" s="29" t="s">
        <v>1112</v>
      </c>
      <c r="B12" s="30">
        <v>135</v>
      </c>
      <c r="D12" s="29">
        <v>2022</v>
      </c>
      <c r="E12" s="30">
        <v>7</v>
      </c>
      <c r="G12" s="29" t="s">
        <v>157</v>
      </c>
      <c r="H12" s="30">
        <v>126.66666666666667</v>
      </c>
      <c r="I12" s="30">
        <v>12.165666666666667</v>
      </c>
      <c r="J12" s="30">
        <v>27.666666666666668</v>
      </c>
    </row>
    <row r="13" spans="1:10" x14ac:dyDescent="0.35">
      <c r="D13" s="29">
        <v>2005</v>
      </c>
      <c r="E13" s="30">
        <v>7</v>
      </c>
      <c r="G13" s="29" t="s">
        <v>954</v>
      </c>
      <c r="H13" s="30">
        <v>227</v>
      </c>
      <c r="I13" s="30">
        <v>29.465</v>
      </c>
      <c r="J13" s="30">
        <v>25</v>
      </c>
    </row>
    <row r="14" spans="1:10" x14ac:dyDescent="0.35">
      <c r="D14" s="29">
        <v>2002</v>
      </c>
      <c r="E14" s="30">
        <v>7</v>
      </c>
      <c r="G14" s="29" t="s">
        <v>821</v>
      </c>
      <c r="H14" s="30">
        <v>240</v>
      </c>
      <c r="I14" s="30">
        <v>42.8</v>
      </c>
      <c r="J14" s="30">
        <v>21</v>
      </c>
    </row>
    <row r="15" spans="1:10" x14ac:dyDescent="0.35">
      <c r="A15" s="28" t="s">
        <v>1111</v>
      </c>
      <c r="B15" t="s">
        <v>1121</v>
      </c>
      <c r="D15" s="29">
        <v>2018</v>
      </c>
      <c r="E15" s="30">
        <v>6</v>
      </c>
      <c r="G15" s="29" t="s">
        <v>214</v>
      </c>
      <c r="H15" s="30">
        <v>168.33333333333334</v>
      </c>
      <c r="I15" s="30">
        <v>20.991666666666671</v>
      </c>
      <c r="J15" s="30">
        <v>18.666666666666668</v>
      </c>
    </row>
    <row r="16" spans="1:10" x14ac:dyDescent="0.35">
      <c r="A16" s="29" t="s">
        <v>419</v>
      </c>
      <c r="B16" s="30">
        <v>13</v>
      </c>
      <c r="D16" s="29">
        <v>2001</v>
      </c>
      <c r="E16" s="30">
        <v>6</v>
      </c>
      <c r="G16" s="29" t="s">
        <v>669</v>
      </c>
      <c r="H16" s="30">
        <v>245.83333333333334</v>
      </c>
      <c r="I16" s="30">
        <v>44.055</v>
      </c>
      <c r="J16" s="30">
        <v>20.833333333333332</v>
      </c>
    </row>
    <row r="17" spans="1:10" x14ac:dyDescent="0.35">
      <c r="A17" s="29" t="s">
        <v>392</v>
      </c>
      <c r="B17" s="30">
        <v>13</v>
      </c>
      <c r="D17" s="29">
        <v>2021</v>
      </c>
      <c r="E17" s="30">
        <v>6</v>
      </c>
      <c r="G17" s="29" t="s">
        <v>61</v>
      </c>
      <c r="H17" s="30">
        <v>263.33333333333331</v>
      </c>
      <c r="I17" s="30">
        <v>41.69</v>
      </c>
      <c r="J17" s="30">
        <v>19.333333333333332</v>
      </c>
    </row>
    <row r="18" spans="1:10" x14ac:dyDescent="0.35">
      <c r="A18" s="29" t="s">
        <v>660</v>
      </c>
      <c r="B18" s="30">
        <v>12</v>
      </c>
      <c r="D18" s="29">
        <v>2010</v>
      </c>
      <c r="E18" s="30">
        <v>6</v>
      </c>
      <c r="G18" s="29" t="s">
        <v>297</v>
      </c>
      <c r="H18" s="30">
        <v>232.22222222222223</v>
      </c>
      <c r="I18" s="30">
        <v>52.916666666666657</v>
      </c>
      <c r="J18" s="30">
        <v>23.444444444444443</v>
      </c>
    </row>
    <row r="19" spans="1:10" x14ac:dyDescent="0.35">
      <c r="A19" s="29" t="s">
        <v>435</v>
      </c>
      <c r="B19" s="30">
        <v>11</v>
      </c>
      <c r="D19" s="29">
        <v>2017</v>
      </c>
      <c r="E19" s="30">
        <v>6</v>
      </c>
      <c r="G19" s="29" t="s">
        <v>310</v>
      </c>
      <c r="H19" s="30">
        <v>163.83333333333334</v>
      </c>
      <c r="I19" s="30">
        <v>20.748333333333331</v>
      </c>
      <c r="J19" s="30">
        <v>23.666666666666668</v>
      </c>
    </row>
    <row r="20" spans="1:10" x14ac:dyDescent="0.35">
      <c r="A20" s="29" t="s">
        <v>495</v>
      </c>
      <c r="B20" s="30">
        <v>11</v>
      </c>
      <c r="D20" s="29">
        <v>2019</v>
      </c>
      <c r="E20" s="30">
        <v>5</v>
      </c>
      <c r="G20" s="29" t="s">
        <v>281</v>
      </c>
      <c r="H20" s="30">
        <v>165.14285714285714</v>
      </c>
      <c r="I20" s="30">
        <v>22.167428571428569</v>
      </c>
      <c r="J20" s="30">
        <v>22.857142857142858</v>
      </c>
    </row>
    <row r="21" spans="1:10" x14ac:dyDescent="0.35">
      <c r="A21" s="29" t="s">
        <v>448</v>
      </c>
      <c r="B21" s="30">
        <v>8</v>
      </c>
      <c r="D21" s="29">
        <v>2000</v>
      </c>
      <c r="E21" s="30">
        <v>5</v>
      </c>
      <c r="G21" s="29" t="s">
        <v>604</v>
      </c>
      <c r="H21" s="30">
        <v>169</v>
      </c>
      <c r="I21" s="30">
        <v>22.360714285714288</v>
      </c>
      <c r="J21" s="30">
        <v>22.285714285714285</v>
      </c>
    </row>
    <row r="22" spans="1:10" x14ac:dyDescent="0.35">
      <c r="A22" s="29" t="s">
        <v>582</v>
      </c>
      <c r="B22" s="30">
        <v>8</v>
      </c>
      <c r="D22" s="29">
        <v>2020</v>
      </c>
      <c r="E22" s="30">
        <v>5</v>
      </c>
      <c r="G22" s="29" t="s">
        <v>83</v>
      </c>
      <c r="H22" s="30">
        <v>190</v>
      </c>
      <c r="I22" s="30">
        <v>25.622833333333329</v>
      </c>
      <c r="J22" s="30">
        <v>23</v>
      </c>
    </row>
    <row r="23" spans="1:10" x14ac:dyDescent="0.35">
      <c r="A23" s="29" t="s">
        <v>478</v>
      </c>
      <c r="B23" s="30">
        <v>6</v>
      </c>
      <c r="D23" s="29">
        <v>2006</v>
      </c>
      <c r="E23" s="30">
        <v>5</v>
      </c>
      <c r="G23" s="29" t="s">
        <v>327</v>
      </c>
      <c r="H23" s="30">
        <v>166.75</v>
      </c>
      <c r="I23" s="30">
        <v>22.642499999999998</v>
      </c>
      <c r="J23" s="30">
        <v>25.25</v>
      </c>
    </row>
    <row r="24" spans="1:10" x14ac:dyDescent="0.35">
      <c r="A24" s="29" t="s">
        <v>787</v>
      </c>
      <c r="B24" s="30">
        <v>6</v>
      </c>
      <c r="D24" s="29">
        <v>2013</v>
      </c>
      <c r="E24" s="30">
        <v>2</v>
      </c>
      <c r="G24" s="29" t="s">
        <v>255</v>
      </c>
      <c r="H24" s="30">
        <v>185</v>
      </c>
      <c r="I24" s="30">
        <v>22.949166666666667</v>
      </c>
      <c r="J24" s="30">
        <v>24.833333333333332</v>
      </c>
    </row>
    <row r="25" spans="1:10" x14ac:dyDescent="0.35">
      <c r="A25" s="29" t="s">
        <v>524</v>
      </c>
      <c r="B25" s="30">
        <v>6</v>
      </c>
      <c r="D25" s="29" t="s">
        <v>1112</v>
      </c>
      <c r="E25" s="30">
        <v>157</v>
      </c>
      <c r="G25" s="29" t="s">
        <v>465</v>
      </c>
      <c r="H25" s="30">
        <v>272.33333333333331</v>
      </c>
      <c r="I25" s="30">
        <v>62.473333333333336</v>
      </c>
      <c r="J25" s="30">
        <v>22</v>
      </c>
    </row>
    <row r="26" spans="1:10" x14ac:dyDescent="0.35">
      <c r="A26" s="29" t="s">
        <v>1112</v>
      </c>
      <c r="B26" s="30">
        <v>94</v>
      </c>
      <c r="G26" s="29" t="s">
        <v>175</v>
      </c>
      <c r="H26" s="30">
        <v>177.5</v>
      </c>
      <c r="I26" s="30">
        <v>29.61</v>
      </c>
      <c r="J26" s="30">
        <v>23</v>
      </c>
    </row>
    <row r="27" spans="1:10" x14ac:dyDescent="0.35">
      <c r="G27" s="29" t="s">
        <v>796</v>
      </c>
      <c r="H27" s="30">
        <v>119.6</v>
      </c>
      <c r="I27" s="30">
        <v>14.271000000000001</v>
      </c>
      <c r="J27" s="30">
        <v>30.4</v>
      </c>
    </row>
    <row r="28" spans="1:10" x14ac:dyDescent="0.35">
      <c r="G28" s="29" t="s">
        <v>690</v>
      </c>
      <c r="H28" s="30">
        <v>165</v>
      </c>
      <c r="I28" s="30">
        <v>21.395</v>
      </c>
      <c r="J28" s="30">
        <v>24.5</v>
      </c>
    </row>
    <row r="29" spans="1:10" x14ac:dyDescent="0.35">
      <c r="A29" s="28" t="s">
        <v>1111</v>
      </c>
      <c r="B29" t="s">
        <v>1127</v>
      </c>
      <c r="G29" s="29" t="s">
        <v>191</v>
      </c>
      <c r="H29" s="30">
        <v>160.66666666666666</v>
      </c>
      <c r="I29" s="30">
        <v>21.98288888888889</v>
      </c>
      <c r="J29" s="30">
        <v>25.222222222222221</v>
      </c>
    </row>
    <row r="30" spans="1:10" x14ac:dyDescent="0.35">
      <c r="A30" s="29" t="s">
        <v>1126</v>
      </c>
      <c r="B30" s="30">
        <v>69</v>
      </c>
      <c r="G30" s="29" t="s">
        <v>115</v>
      </c>
      <c r="H30" s="30">
        <v>120.83333333333333</v>
      </c>
      <c r="I30" s="30">
        <v>17.698333333333334</v>
      </c>
      <c r="J30" s="30">
        <v>26.166666666666668</v>
      </c>
    </row>
    <row r="31" spans="1:10" x14ac:dyDescent="0.35">
      <c r="A31" s="29" t="s">
        <v>1125</v>
      </c>
      <c r="B31" s="30">
        <v>13</v>
      </c>
      <c r="G31" s="29" t="s">
        <v>97</v>
      </c>
      <c r="H31" s="30">
        <v>182.16666666666666</v>
      </c>
      <c r="I31" s="30">
        <v>30.933333333333334</v>
      </c>
      <c r="J31" s="30">
        <v>24.5</v>
      </c>
    </row>
    <row r="32" spans="1:10" x14ac:dyDescent="0.35">
      <c r="A32" s="29" t="s">
        <v>1124</v>
      </c>
      <c r="B32" s="30">
        <v>25</v>
      </c>
      <c r="G32" s="29" t="s">
        <v>1112</v>
      </c>
      <c r="H32" s="30">
        <v>185.94871794871796</v>
      </c>
      <c r="I32" s="30">
        <v>27.390754838709661</v>
      </c>
      <c r="J32" s="30">
        <v>23.844155844155843</v>
      </c>
    </row>
    <row r="33" spans="1:2" x14ac:dyDescent="0.35">
      <c r="A33" s="29" t="s">
        <v>1123</v>
      </c>
      <c r="B33" s="30">
        <v>28</v>
      </c>
    </row>
    <row r="34" spans="1:2" x14ac:dyDescent="0.35">
      <c r="A34" s="29" t="s">
        <v>1112</v>
      </c>
      <c r="B34" s="30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6D12-9EED-4608-B15B-C6852A82AFEC}">
  <dimension ref="A1"/>
  <sheetViews>
    <sheetView workbookViewId="0">
      <selection activeCell="AA20" sqref="AA20"/>
    </sheetView>
  </sheetViews>
  <sheetFormatPr defaultRowHeight="12.7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Set 1</vt:lpstr>
      <vt:lpstr>Data Set 2 - Vehicles</vt:lpstr>
      <vt:lpstr>Data Set 3 - Contacts</vt:lpstr>
      <vt:lpstr>Pivots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Abbasi, Ahsan</cp:lastModifiedBy>
  <dcterms:modified xsi:type="dcterms:W3CDTF">2026-09-23T11:35:50Z</dcterms:modified>
</cp:coreProperties>
</file>